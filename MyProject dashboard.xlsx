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Krushna\OneDrive\Pictures\Tài liệu\Desktop\Placement\Excel\New folder\"/>
    </mc:Choice>
  </mc:AlternateContent>
  <xr:revisionPtr revIDLastSave="0" documentId="8_{698C7438-0927-4974-A78F-D8B734B31EC2}" xr6:coauthVersionLast="47" xr6:coauthVersionMax="47" xr10:uidLastSave="{00000000-0000-0000-0000-000000000000}"/>
  <bookViews>
    <workbookView xWindow="-108" yWindow="-108" windowWidth="23256" windowHeight="12456" activeTab="1" xr2:uid="{167073D7-1BEB-49D4-8D2C-F577AE05EB99}"/>
  </bookViews>
  <sheets>
    <sheet name="Sheet2" sheetId="2" r:id="rId1"/>
    <sheet name="Sheet3" sheetId="3" r:id="rId2"/>
    <sheet name="Sheet1" sheetId="1" r:id="rId3"/>
  </sheets>
  <definedNames>
    <definedName name="NativeTimeline_Date">#N/A</definedName>
    <definedName name="Slicer_City">#N/A</definedName>
    <definedName name="Slicer_Item">#N/A</definedName>
  </definedNames>
  <calcPr calcId="191029"/>
  <pivotCaches>
    <pivotCache cacheId="1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4" i="2" l="1"/>
</calcChain>
</file>

<file path=xl/sharedStrings.xml><?xml version="1.0" encoding="utf-8"?>
<sst xmlns="http://schemas.openxmlformats.org/spreadsheetml/2006/main" count="462" uniqueCount="30">
  <si>
    <t>S.N</t>
  </si>
  <si>
    <t>Seller</t>
  </si>
  <si>
    <t>City</t>
  </si>
  <si>
    <t>Date</t>
  </si>
  <si>
    <t>Item</t>
  </si>
  <si>
    <t>Qty</t>
  </si>
  <si>
    <t>Rate</t>
  </si>
  <si>
    <t>Total</t>
  </si>
  <si>
    <t>SHIVAM VERMA</t>
  </si>
  <si>
    <t>Sitapur</t>
  </si>
  <si>
    <t>Mouse</t>
  </si>
  <si>
    <t>Keyboard</t>
  </si>
  <si>
    <t>RAM</t>
  </si>
  <si>
    <t>SSD</t>
  </si>
  <si>
    <t>Mic</t>
  </si>
  <si>
    <t>M/B</t>
  </si>
  <si>
    <t>ADITYA KUMAR</t>
  </si>
  <si>
    <t>Lakhimpur</t>
  </si>
  <si>
    <t>RAM PRAVESH</t>
  </si>
  <si>
    <t>NITESH CHAURASIYA</t>
  </si>
  <si>
    <t>Lucknow</t>
  </si>
  <si>
    <t>GAJENDRA SINGH</t>
  </si>
  <si>
    <t>ABHISHEK DIXIT</t>
  </si>
  <si>
    <t>Row Labels</t>
  </si>
  <si>
    <t>Grand Total</t>
  </si>
  <si>
    <t>Jan</t>
  </si>
  <si>
    <t>Feb</t>
  </si>
  <si>
    <t>Mar</t>
  </si>
  <si>
    <t>Sum of Total</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</si>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</sst>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0" fontId="1" fillId="0" borderId="0" xfId="0" applyFont="1"/>
    <xf numFmtId="14" fontId="1" fillId="0" borderId="0" xfId="0" applyNumberFormat="1" applyFont="1"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1">
    <cellStyle name="Normal" xfId="0" builtinId="0"/>
  </cellStyles>
  <dxfs count="3">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[MyProject dashboard.xlsx]Sheet2!PivotTable3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Sheet2!$A$4:$A$7</c:f>
              <c:strCache>
                <c:ptCount val="3"/>
                <c:pt idx="0">
                  <c:v>Jan</c:v>
                </c:pt>
                <c:pt idx="1">
                  <c:v>Feb</c:v>
                </c:pt>
                <c:pt idx="2">
                  <c:v>Mar</c:v>
                </c:pt>
              </c:strCache>
            </c:strRef>
          </c:cat>
          <c:val>
            <c:numRef>
              <c:f>Sheet2!$B$4:$B$7</c:f>
              <c:numCache>
                <c:formatCode>General</c:formatCode>
                <c:ptCount val="3"/>
                <c:pt idx="0">
                  <c:v>773950</c:v>
                </c:pt>
                <c:pt idx="1">
                  <c:v>1203900</c:v>
                </c:pt>
                <c:pt idx="2">
                  <c:v>585950</c:v>
                </c:pt>
              </c:numCache>
            </c:numRef>
          </c:val>
          <c:smooth val="0"/>
          <c:extLst>
            <c:ext xmlns:c16="http://schemas.microsoft.com/office/drawing/2014/chart" uri="{C3380CC4-5D6E-409C-BE32-E72D297353CC}">
              <c16:uniqueId val="{00000000-4023-46B7-B42C-7ACFE3A24E90}"/>
            </c:ext>
          </c:extLst>
        </c:ser>
        <c:dLbls>
          <c:showLegendKey val="0"/>
          <c:showVal val="0"/>
          <c:showCatName val="0"/>
          <c:showSerName val="0"/>
          <c:showPercent val="0"/>
          <c:showBubbleSize val="0"/>
        </c:dLbls>
        <c:smooth val="0"/>
        <c:axId val="1765426127"/>
        <c:axId val="1765426607"/>
      </c:lineChart>
      <c:catAx>
        <c:axId val="176542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426607"/>
        <c:crosses val="autoZero"/>
        <c:auto val="1"/>
        <c:lblAlgn val="ctr"/>
        <c:lblOffset val="100"/>
        <c:noMultiLvlLbl val="0"/>
      </c:catAx>
      <c:valAx>
        <c:axId val="1765426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42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[MyProject dashboard.xlsx]Sheet2!PivotTable4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Sheet2!$B$13</c:f>
              <c:strCache>
                <c:ptCount val="1"/>
                <c:pt idx="0">
                  <c:v>Total</c:v>
                </c:pt>
              </c:strCache>
            </c:strRef>
          </c:tx>
          <c:spPr>
            <a:solidFill>
              <a:schemeClr val="accent1"/>
            </a:solidFill>
            <a:ln>
              <a:noFill/>
            </a:ln>
            <a:effectLst/>
          </c:spPr>
          <c:invertIfNegative val="0"/>
          <c:cat>
            <c:strRef>
              <c:f>Sheet2!$A$14:$A$17</c:f>
              <c:strCache>
                <c:ptCount val="3"/>
                <c:pt idx="0">
                  <c:v>Lakhimpur</c:v>
                </c:pt>
                <c:pt idx="1">
                  <c:v>Lucknow</c:v>
                </c:pt>
                <c:pt idx="2">
                  <c:v>Sitapur</c:v>
                </c:pt>
              </c:strCache>
            </c:strRef>
          </c:cat>
          <c:val>
            <c:numRef>
              <c:f>Sheet2!$B$14:$B$17</c:f>
              <c:numCache>
                <c:formatCode>General</c:formatCode>
                <c:ptCount val="3"/>
                <c:pt idx="0">
                  <c:v>1203900</c:v>
                </c:pt>
                <c:pt idx="1">
                  <c:v>585950</c:v>
                </c:pt>
                <c:pt idx="2">
                  <c:v>773950</c:v>
                </c:pt>
              </c:numCache>
            </c:numRef>
          </c:val>
          <c:extLst>
            <c:ext xmlns:c16="http://schemas.microsoft.com/office/drawing/2014/chart" uri="{C3380CC4-5D6E-409C-BE32-E72D297353CC}">
              <c16:uniqueId val="{00000000-66F0-44E9-85EC-B20567F233A5}"/>
            </c:ext>
          </c:extLst>
        </c:ser>
        <c:dLbls>
          <c:showLegendKey val="0"/>
          <c:showVal val="0"/>
          <c:showCatName val="0"/>
          <c:showSerName val="0"/>
          <c:showPercent val="0"/>
          <c:showBubbleSize val="0"/>
        </c:dLbls>
        <c:gapWidth val="219"/>
        <c:overlap val="-27"/>
        <c:axId val="2066588863"/>
        <c:axId val="2066591743"/>
      </c:barChart>
      <c:catAx>
        <c:axId val="206658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91743"/>
        <c:crosses val="autoZero"/>
        <c:auto val="1"/>
        <c:lblAlgn val="ctr"/>
        <c:lblOffset val="100"/>
        <c:noMultiLvlLbl val="0"/>
      </c:catAx>
      <c:valAx>
        <c:axId val="206659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8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[MyProject dashboard.xlsx]Sheet2!PivotTable5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Sheet2!$B$22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Sheet2!$A$23:$A$29</c:f>
              <c:strCache>
                <c:ptCount val="6"/>
                <c:pt idx="0">
                  <c:v>Keyboard</c:v>
                </c:pt>
                <c:pt idx="1">
                  <c:v>M/B</c:v>
                </c:pt>
                <c:pt idx="2">
                  <c:v>Mic</c:v>
                </c:pt>
                <c:pt idx="3">
                  <c:v>Mouse</c:v>
                </c:pt>
                <c:pt idx="4">
                  <c:v>RAM</c:v>
                </c:pt>
                <c:pt idx="5">
                  <c:v>SSD</c:v>
                </c:pt>
              </c:strCache>
            </c:strRef>
          </c:cat>
          <c:val>
            <c:numRef>
              <c:f>Sheet2!$B$23:$B$29</c:f>
              <c:numCache>
                <c:formatCode>General</c:formatCode>
                <c:ptCount val="6"/>
                <c:pt idx="0">
                  <c:v>144</c:v>
                </c:pt>
                <c:pt idx="1">
                  <c:v>151</c:v>
                </c:pt>
                <c:pt idx="2">
                  <c:v>153</c:v>
                </c:pt>
                <c:pt idx="3">
                  <c:v>134</c:v>
                </c:pt>
                <c:pt idx="4">
                  <c:v>153</c:v>
                </c:pt>
                <c:pt idx="5">
                  <c:v>173</c:v>
                </c:pt>
              </c:numCache>
            </c:numRef>
          </c:val>
          <c:extLst>
            <c:ext xmlns:c16="http://schemas.microsoft.com/office/drawing/2014/chart" uri="{C3380CC4-5D6E-409C-BE32-E72D297353CC}">
              <c16:uniqueId val="{00000000-9D89-4A73-B493-F0691ABAED7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[MyProject dashboard.xlsx]Sheet2!PivotTable3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Sheet2!$A$4:$A$7</c:f>
              <c:strCache>
                <c:ptCount val="3"/>
                <c:pt idx="0">
                  <c:v>Jan</c:v>
                </c:pt>
                <c:pt idx="1">
                  <c:v>Feb</c:v>
                </c:pt>
                <c:pt idx="2">
                  <c:v>Mar</c:v>
                </c:pt>
              </c:strCache>
            </c:strRef>
          </c:cat>
          <c:val>
            <c:numRef>
              <c:f>Sheet2!$B$4:$B$7</c:f>
              <c:numCache>
                <c:formatCode>General</c:formatCode>
                <c:ptCount val="3"/>
                <c:pt idx="0">
                  <c:v>773950</c:v>
                </c:pt>
                <c:pt idx="1">
                  <c:v>1203900</c:v>
                </c:pt>
                <c:pt idx="2">
                  <c:v>585950</c:v>
                </c:pt>
              </c:numCache>
            </c:numRef>
          </c:val>
          <c:smooth val="0"/>
          <c:extLst>
            <c:ext xmlns:c16="http://schemas.microsoft.com/office/drawing/2014/chart" uri="{C3380CC4-5D6E-409C-BE32-E72D297353CC}">
              <c16:uniqueId val="{00000000-7DC0-419F-BCC5-8587D6F74FE5}"/>
            </c:ext>
          </c:extLst>
        </c:ser>
        <c:dLbls>
          <c:showLegendKey val="0"/>
          <c:showVal val="0"/>
          <c:showCatName val="0"/>
          <c:showSerName val="0"/>
          <c:showPercent val="0"/>
          <c:showBubbleSize val="0"/>
        </c:dLbls>
        <c:smooth val="0"/>
        <c:axId val="1765426127"/>
        <c:axId val="1765426607"/>
      </c:lineChart>
      <c:catAx>
        <c:axId val="176542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426607"/>
        <c:crosses val="autoZero"/>
        <c:auto val="1"/>
        <c:lblAlgn val="ctr"/>
        <c:lblOffset val="100"/>
        <c:noMultiLvlLbl val="0"/>
      </c:catAx>
      <c:valAx>
        <c:axId val="1765426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42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[MyProject dashboard.xlsx]Sheet2!PivotTable4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Sheet2!$A$14:$A$17</c:f>
              <c:strCache>
                <c:ptCount val="3"/>
                <c:pt idx="0">
                  <c:v>Lakhimpur</c:v>
                </c:pt>
                <c:pt idx="1">
                  <c:v>Lucknow</c:v>
                </c:pt>
                <c:pt idx="2">
                  <c:v>Sitapur</c:v>
                </c:pt>
              </c:strCache>
            </c:strRef>
          </c:cat>
          <c:val>
            <c:numRef>
              <c:f>Sheet2!$B$14:$B$17</c:f>
              <c:numCache>
                <c:formatCode>General</c:formatCode>
                <c:ptCount val="3"/>
                <c:pt idx="0">
                  <c:v>1203900</c:v>
                </c:pt>
                <c:pt idx="1">
                  <c:v>585950</c:v>
                </c:pt>
                <c:pt idx="2">
                  <c:v>773950</c:v>
                </c:pt>
              </c:numCache>
            </c:numRef>
          </c:val>
          <c:extLst>
            <c:ext xmlns:c16="http://schemas.microsoft.com/office/drawing/2014/chart" uri="{C3380CC4-5D6E-409C-BE32-E72D297353CC}">
              <c16:uniqueId val="{00000000-A9EF-41E4-8733-2C03914A46C3}"/>
            </c:ext>
          </c:extLst>
        </c:ser>
        <c:dLbls>
          <c:showLegendKey val="0"/>
          <c:showVal val="0"/>
          <c:showCatName val="0"/>
          <c:showSerName val="0"/>
          <c:showPercent val="0"/>
          <c:showBubbleSize val="0"/>
        </c:dLbls>
        <c:gapWidth val="219"/>
        <c:overlap val="-27"/>
        <c:axId val="2066588863"/>
        <c:axId val="2066591743"/>
      </c:barChart>
      <c:catAx>
        <c:axId val="206658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91743"/>
        <c:crosses val="autoZero"/>
        <c:auto val="1"/>
        <c:lblAlgn val="ctr"/>
        <c:lblOffset val="100"/>
        <c:noMultiLvlLbl val="0"/>
      </c:catAx>
      <c:valAx>
        <c:axId val="206659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8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[MyProject dashboard.xlsx]Sheet2!PivotTable5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0.22444160104986874"/>
          <c:y val="0.24476633129192185"/>
          <c:w val="0.41147353455818025"/>
          <c:h val="0.68578922426363376"/>
        </c:manualLayout>
      </c:layout>
      <c:pieChart>
        <c:varyColors val="1"/>
        <c:ser>
          <c:idx val="0"/>
          <c:order val="0"/>
          <c:tx>
            <c:strRef>
              <c:f>Sheet2!$B$22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6E-437E-9898-8DCEADB9AF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6E-437E-9898-8DCEADB9AF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6E-437E-9898-8DCEADB9AF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6E-437E-9898-8DCEADB9AF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6E-437E-9898-8DCEADB9AF7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16E-437E-9898-8DCEADB9AF7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16E-437E-9898-8DCEADB9AF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Sheet2!$A$23:$A$29</c:f>
              <c:strCache>
                <c:ptCount val="6"/>
                <c:pt idx="0">
                  <c:v>Keyboard</c:v>
                </c:pt>
                <c:pt idx="1">
                  <c:v>M/B</c:v>
                </c:pt>
                <c:pt idx="2">
                  <c:v>Mic</c:v>
                </c:pt>
                <c:pt idx="3">
                  <c:v>Mouse</c:v>
                </c:pt>
                <c:pt idx="4">
                  <c:v>RAM</c:v>
                </c:pt>
                <c:pt idx="5">
                  <c:v>SSD</c:v>
                </c:pt>
              </c:strCache>
            </c:strRef>
          </c:cat>
          <c:val>
            <c:numRef>
              <c:f>Sheet2!$B$23:$B$29</c:f>
              <c:numCache>
                <c:formatCode>General</c:formatCode>
                <c:ptCount val="6"/>
                <c:pt idx="0">
                  <c:v>144</c:v>
                </c:pt>
                <c:pt idx="1">
                  <c:v>151</c:v>
                </c:pt>
                <c:pt idx="2">
                  <c:v>153</c:v>
                </c:pt>
                <c:pt idx="3">
                  <c:v>134</c:v>
                </c:pt>
                <c:pt idx="4">
                  <c:v>153</c:v>
                </c:pt>
                <c:pt idx="5">
                  <c:v>173</c:v>
                </c:pt>
              </c:numCache>
            </c:numRef>
          </c:val>
          <c:extLst>
            <c:ext xmlns:c16="http://schemas.microsoft.com/office/drawing/2014/chart" uri="{C3380CC4-5D6E-409C-BE32-E72D297353CC}">
              <c16:uniqueId val="{0000000E-616E-437E-9898-8DCEADB9AF7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320040</xdr:colOff>
      <xdr:row>0</xdr:row>
      <xdr:rowOff>53340</xdr:rowOff>
    </xdr:from>
    <xdr:to>
      <xdr:col>16</xdr:col>
      <xdr:colOff>0</xdr:colOff>
      <xdr:row>5</xdr:row>
      <xdr:rowOff>60960</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DE14DB44-D164-87F9-1D4E-331B2DB8F0DE}"/>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819900" y="53340"/>
              <a:ext cx="333756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365760</xdr:colOff>
      <xdr:row>0</xdr:row>
      <xdr:rowOff>83820</xdr:rowOff>
    </xdr:from>
    <xdr:to>
      <xdr:col>19</xdr:col>
      <xdr:colOff>365760</xdr:colOff>
      <xdr:row>13</xdr:row>
      <xdr:rowOff>173355</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5D181CCC-201F-D203-06C6-605083F9FE7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523220" y="83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541020</xdr:colOff>
      <xdr:row>0</xdr:row>
      <xdr:rowOff>76200</xdr:rowOff>
    </xdr:from>
    <xdr:to>
      <xdr:col>22</xdr:col>
      <xdr:colOff>541020</xdr:colOff>
      <xdr:row>13</xdr:row>
      <xdr:rowOff>165735</xdr:rowOff>
    </xdr:to>
    <mc:AlternateContent xmlns:mc="http://schemas.openxmlformats.org/markup-compatibility/2006">
      <mc:Choice xmlns:a14="http://schemas.microsoft.com/office/drawing/2010/main" Requires="a14">
        <xdr:graphicFrame macro="">
          <xdr:nvGraphicFramePr>
            <xdr:cNvPr id="4" name="Item">
              <a:extLst>
                <a:ext uri="{FF2B5EF4-FFF2-40B4-BE49-F238E27FC236}">
                  <a16:creationId xmlns:a16="http://schemas.microsoft.com/office/drawing/2014/main" id="{1CD450B5-5671-5527-45A1-DD5BE19DD629}"/>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12527280" y="76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502920</xdr:colOff>
      <xdr:row>5</xdr:row>
      <xdr:rowOff>133350</xdr:rowOff>
    </xdr:from>
    <xdr:to>
      <xdr:col>13</xdr:col>
      <xdr:colOff>198120</xdr:colOff>
      <xdr:row>20</xdr:row>
      <xdr:rowOff>133350</xdr:rowOff>
    </xdr:to>
    <xdr:graphicFrame macro="">
      <xdr:nvGraphicFramePr>
        <xdr:cNvPr id="5" name="Chart 4">
          <a:extLst>
            <a:ext uri="{FF2B5EF4-FFF2-40B4-BE49-F238E27FC236}">
              <a16:creationId xmlns:a16="http://schemas.microsoft.com/office/drawing/2014/main" id="{93EE2F5F-8740-7273-2E0A-2A9023563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251460</xdr:colOff>
      <xdr:row>5</xdr:row>
      <xdr:rowOff>133350</xdr:rowOff>
    </xdr:from>
    <xdr:to>
      <xdr:col>11</xdr:col>
      <xdr:colOff>556260</xdr:colOff>
      <xdr:row>20</xdr:row>
      <xdr:rowOff>133350</xdr:rowOff>
    </xdr:to>
    <xdr:graphicFrame macro="">
      <xdr:nvGraphicFramePr>
        <xdr:cNvPr id="6" name="Chart 5">
          <a:extLst>
            <a:ext uri="{FF2B5EF4-FFF2-40B4-BE49-F238E27FC236}">
              <a16:creationId xmlns:a16="http://schemas.microsoft.com/office/drawing/2014/main" id="{85DA8A7A-D1AE-DD2A-AE7A-0C125702A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228600</xdr:colOff>
      <xdr:row>12</xdr:row>
      <xdr:rowOff>133350</xdr:rowOff>
    </xdr:from>
    <xdr:to>
      <xdr:col>11</xdr:col>
      <xdr:colOff>533400</xdr:colOff>
      <xdr:row>27</xdr:row>
      <xdr:rowOff>133350</xdr:rowOff>
    </xdr:to>
    <xdr:graphicFrame macro="">
      <xdr:nvGraphicFramePr>
        <xdr:cNvPr id="7" name="Chart 6">
          <a:extLst>
            <a:ext uri="{FF2B5EF4-FFF2-40B4-BE49-F238E27FC236}">
              <a16:creationId xmlns:a16="http://schemas.microsoft.com/office/drawing/2014/main" id="{8BD8002B-057A-D2D8-4664-02FDF873D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205740</xdr:colOff>
      <xdr:row>0</xdr:row>
      <xdr:rowOff>53340</xdr:rowOff>
    </xdr:from>
    <xdr:to>
      <xdr:col>23</xdr:col>
      <xdr:colOff>0</xdr:colOff>
      <xdr:row>26</xdr:row>
      <xdr:rowOff>0</xdr:rowOff>
    </xdr:to>
    <xdr:sp macro="" textlink="">
      <xdr:nvSpPr>
        <xdr:cNvPr id="2" name="Rectangle: Rounded Corners 1">
          <a:extLst>
            <a:ext uri="{FF2B5EF4-FFF2-40B4-BE49-F238E27FC236}">
              <a16:creationId xmlns:a16="http://schemas.microsoft.com/office/drawing/2014/main" id="{4EE7E9D6-5318-824A-8B85-EBC14AE122A7}"/>
            </a:ext>
          </a:extLst>
        </xdr:cNvPr>
        <xdr:cNvSpPr/>
      </xdr:nvSpPr>
      <xdr:spPr>
        <a:xfrm>
          <a:off x="205740" y="53340"/>
          <a:ext cx="13815060" cy="4701540"/>
        </a:xfrm>
        <a:prstGeom prst="roundRect">
          <a:avLst>
            <a:gd name="adj" fmla="val 231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563880</xdr:colOff>
      <xdr:row>0</xdr:row>
      <xdr:rowOff>91440</xdr:rowOff>
    </xdr:from>
    <xdr:to>
      <xdr:col>22</xdr:col>
      <xdr:colOff>563880</xdr:colOff>
      <xdr:row>12</xdr:row>
      <xdr:rowOff>160019</xdr:rowOff>
    </xdr:to>
    <mc:AlternateContent xmlns:mc="http://schemas.openxmlformats.org/markup-compatibility/2006">
      <mc:Choice xmlns:a14="http://schemas.microsoft.com/office/drawing/2010/main" Requires="a14">
        <xdr:graphicFrame macro="">
          <xdr:nvGraphicFramePr>
            <xdr:cNvPr id="3" name="Item 1">
              <a:extLst>
                <a:ext uri="{FF2B5EF4-FFF2-40B4-BE49-F238E27FC236}">
                  <a16:creationId xmlns:a16="http://schemas.microsoft.com/office/drawing/2014/main" id="{00CCA052-13B9-40F2-B60E-82AB6312E326}"/>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12146280" y="91440"/>
              <a:ext cx="1828800" cy="2263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457200</xdr:colOff>
      <xdr:row>13</xdr:row>
      <xdr:rowOff>91440</xdr:rowOff>
    </xdr:from>
    <xdr:to>
      <xdr:col>22</xdr:col>
      <xdr:colOff>548640</xdr:colOff>
      <xdr:row>26</xdr:row>
      <xdr:rowOff>0</xdr:rowOff>
    </xdr:to>
    <xdr:graphicFrame macro="">
      <xdr:nvGraphicFramePr>
        <xdr:cNvPr id="4" name="Chart 3">
          <a:extLst>
            <a:ext uri="{FF2B5EF4-FFF2-40B4-BE49-F238E27FC236}">
              <a16:creationId xmlns:a16="http://schemas.microsoft.com/office/drawing/2014/main" id="{15CBA054-374A-4477-92AB-1F3BD973F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220980</xdr:colOff>
      <xdr:row>0</xdr:row>
      <xdr:rowOff>99060</xdr:rowOff>
    </xdr:from>
    <xdr:to>
      <xdr:col>19</xdr:col>
      <xdr:colOff>510540</xdr:colOff>
      <xdr:row>5</xdr:row>
      <xdr:rowOff>106680</xdr:rowOff>
    </xdr:to>
    <mc:AlternateContent xmlns:mc="http://schemas.openxmlformats.org/markup-compatibility/2006">
      <mc:Choice xmlns:tsle="http://schemas.microsoft.com/office/drawing/2012/timeslicer" Requires="tsle">
        <xdr:graphicFrame macro="">
          <xdr:nvGraphicFramePr>
            <xdr:cNvPr id="5" name="Date 1">
              <a:extLst>
                <a:ext uri="{FF2B5EF4-FFF2-40B4-BE49-F238E27FC236}">
                  <a16:creationId xmlns:a16="http://schemas.microsoft.com/office/drawing/2014/main" id="{659BA6F3-476A-44AB-B28A-ECE65F1680BC}"/>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8755380" y="99060"/>
              <a:ext cx="333756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518160</xdr:colOff>
      <xdr:row>5</xdr:row>
      <xdr:rowOff>152401</xdr:rowOff>
    </xdr:from>
    <xdr:to>
      <xdr:col>19</xdr:col>
      <xdr:colOff>518160</xdr:colOff>
      <xdr:row>12</xdr:row>
      <xdr:rowOff>175260</xdr:rowOff>
    </xdr:to>
    <mc:AlternateContent xmlns:mc="http://schemas.openxmlformats.org/markup-compatibility/2006">
      <mc:Choice xmlns:a14="http://schemas.microsoft.com/office/drawing/2010/main" Requires="a14">
        <xdr:graphicFrame macro="">
          <xdr:nvGraphicFramePr>
            <xdr:cNvPr id="6" name="City 1">
              <a:extLst>
                <a:ext uri="{FF2B5EF4-FFF2-40B4-BE49-F238E27FC236}">
                  <a16:creationId xmlns:a16="http://schemas.microsoft.com/office/drawing/2014/main" id="{43FA80B9-02D3-47EA-8398-835BA826B1C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0271760" y="1066801"/>
              <a:ext cx="1828800" cy="1303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91440</xdr:colOff>
      <xdr:row>13</xdr:row>
      <xdr:rowOff>91440</xdr:rowOff>
    </xdr:from>
    <xdr:to>
      <xdr:col>15</xdr:col>
      <xdr:colOff>396240</xdr:colOff>
      <xdr:row>26</xdr:row>
      <xdr:rowOff>0</xdr:rowOff>
    </xdr:to>
    <xdr:graphicFrame macro="">
      <xdr:nvGraphicFramePr>
        <xdr:cNvPr id="7" name="Chart 6">
          <a:extLst>
            <a:ext uri="{FF2B5EF4-FFF2-40B4-BE49-F238E27FC236}">
              <a16:creationId xmlns:a16="http://schemas.microsoft.com/office/drawing/2014/main" id="{3A324D0F-67F1-406D-AFC4-3FC7BE1EE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274320</xdr:colOff>
      <xdr:row>13</xdr:row>
      <xdr:rowOff>76200</xdr:rowOff>
    </xdr:from>
    <xdr:to>
      <xdr:col>8</xdr:col>
      <xdr:colOff>22860</xdr:colOff>
      <xdr:row>26</xdr:row>
      <xdr:rowOff>0</xdr:rowOff>
    </xdr:to>
    <xdr:graphicFrame macro="">
      <xdr:nvGraphicFramePr>
        <xdr:cNvPr id="8" name="Chart 7">
          <a:extLst>
            <a:ext uri="{FF2B5EF4-FFF2-40B4-BE49-F238E27FC236}">
              <a16:creationId xmlns:a16="http://schemas.microsoft.com/office/drawing/2014/main" id="{0D1F06F7-7CAC-4210-8265-411E318A5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388620</xdr:colOff>
      <xdr:row>3</xdr:row>
      <xdr:rowOff>15240</xdr:rowOff>
    </xdr:from>
    <xdr:to>
      <xdr:col>9</xdr:col>
      <xdr:colOff>236220</xdr:colOff>
      <xdr:row>10</xdr:row>
      <xdr:rowOff>15240</xdr:rowOff>
    </xdr:to>
    <xdr:sp macro="" textlink="">
      <xdr:nvSpPr>
        <xdr:cNvPr id="9" name="Rectangle: Rounded Corners 8">
          <a:extLst>
            <a:ext uri="{FF2B5EF4-FFF2-40B4-BE49-F238E27FC236}">
              <a16:creationId xmlns:a16="http://schemas.microsoft.com/office/drawing/2014/main" id="{5C9CFF79-4F03-8187-9503-5AA19377A1BA}"/>
            </a:ext>
          </a:extLst>
        </xdr:cNvPr>
        <xdr:cNvSpPr/>
      </xdr:nvSpPr>
      <xdr:spPr>
        <a:xfrm>
          <a:off x="998220" y="563880"/>
          <a:ext cx="4724400" cy="128016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2400" b="1"/>
            <a:t>Total</a:t>
          </a:r>
          <a:r>
            <a:rPr lang="en-IN" sz="2400" b="1" baseline="0"/>
            <a:t> Sale Amount</a:t>
          </a:r>
          <a:endParaRPr lang="en-IN" sz="2400" b="1"/>
        </a:p>
      </xdr:txBody>
    </xdr:sp>
    <xdr:clientData/>
  </xdr:twoCellAnchor>
  <xdr:twoCellAnchor>
    <xdr:from>
      <xdr:col>3</xdr:col>
      <xdr:colOff>121920</xdr:colOff>
      <xdr:row>6</xdr:row>
      <xdr:rowOff>38100</xdr:rowOff>
    </xdr:from>
    <xdr:to>
      <xdr:col>7</xdr:col>
      <xdr:colOff>388620</xdr:colOff>
      <xdr:row>8</xdr:row>
      <xdr:rowOff>45720</xdr:rowOff>
    </xdr:to>
    <xdr:sp macro="" textlink="Sheet2!B34">
      <xdr:nvSpPr>
        <xdr:cNvPr id="11" name="Rectangle: Rounded Corners 10">
          <a:extLst>
            <a:ext uri="{FF2B5EF4-FFF2-40B4-BE49-F238E27FC236}">
              <a16:creationId xmlns:a16="http://schemas.microsoft.com/office/drawing/2014/main" id="{BAB9A2C9-5FB9-FB32-AA83-97D95525FA5D}"/>
            </a:ext>
          </a:extLst>
        </xdr:cNvPr>
        <xdr:cNvSpPr/>
      </xdr:nvSpPr>
      <xdr:spPr>
        <a:xfrm>
          <a:off x="1950720" y="1135380"/>
          <a:ext cx="2705100" cy="3733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7EF7A20-8DB9-420B-B7D5-299F8DA5C755}" type="TxLink">
            <a:rPr lang="en-US" sz="1600" b="1" i="0" u="none" strike="noStrike">
              <a:solidFill>
                <a:srgbClr val="000000"/>
              </a:solidFill>
              <a:latin typeface="Calibri"/>
              <a:ea typeface="Calibri"/>
              <a:cs typeface="Calibri"/>
            </a:rPr>
            <a:pPr algn="ctr"/>
            <a:t>₹ 25,63,800.00</a:t>
          </a:fld>
          <a:endParaRPr lang="en-IN" sz="1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ushna" refreshedDate="45931.824238310182" createdVersion="8" refreshedVersion="8" minRefreshableVersion="3" recordCount="145" xr:uid="{7D1CEC64-7FEF-405E-81DF-559BDDF3F017}">
  <cacheSource type="worksheet">
    <worksheetSource ref="A1:H146" sheet="Sheet1"/>
  </cacheSource>
  <cacheFields count="10">
    <cacheField name="S.N" numFmtId="0">
      <sharedItems containsString="0" containsBlank="1" containsNumber="1" containsInteger="1" minValue="1" maxValue="144"/>
    </cacheField>
    <cacheField name="Seller" numFmtId="0">
      <sharedItems containsBlank="1"/>
    </cacheField>
    <cacheField name="City" numFmtId="0">
      <sharedItems containsBlank="1" count="4">
        <s v="Sitapur"/>
        <s v="Lakhimpur"/>
        <s v="Lucknow"/>
        <m/>
      </sharedItems>
    </cacheField>
    <cacheField name="Date" numFmtId="0">
      <sharedItems containsNonDate="0" containsDate="1" containsString="0" containsBlank="1" minDate="2025-01-01T00:00:00" maxDate="2025-05-05T00:00:00" count="21">
        <d v="2025-01-01T00:00:00"/>
        <d v="2025-02-01T00:00:00"/>
        <d v="2025-03-01T00:00:00"/>
        <d v="2025-04-01T00:00:00"/>
        <d v="2025-05-01T00:00:00"/>
        <d v="2025-01-02T00:00:00"/>
        <d v="2025-02-02T00:00:00"/>
        <d v="2025-03-02T00:00:00"/>
        <d v="2025-04-02T00:00:00"/>
        <d v="2025-05-02T00:00:00"/>
        <d v="2025-01-03T00:00:00"/>
        <d v="2025-02-03T00:00:00"/>
        <d v="2025-03-03T00:00:00"/>
        <d v="2025-04-03T00:00:00"/>
        <d v="2025-05-03T00:00:00"/>
        <d v="2025-01-04T00:00:00"/>
        <d v="2025-02-04T00:00:00"/>
        <d v="2025-03-04T00:00:00"/>
        <d v="2025-04-04T00:00:00"/>
        <d v="2025-05-04T00:00:00"/>
        <m/>
      </sharedItems>
      <fieldGroup par="9"/>
    </cacheField>
    <cacheField name="Item" numFmtId="0">
      <sharedItems containsBlank="1" count="7">
        <s v="Mouse"/>
        <s v="Keyboard"/>
        <s v="RAM"/>
        <s v="SSD"/>
        <s v="Mic"/>
        <s v="M/B"/>
        <m/>
      </sharedItems>
    </cacheField>
    <cacheField name="Qty" numFmtId="0">
      <sharedItems containsString="0" containsBlank="1" containsNumber="1" containsInteger="1" minValue="4" maxValue="16"/>
    </cacheField>
    <cacheField name="Rate" numFmtId="0">
      <sharedItems containsString="0" containsBlank="1" containsNumber="1" containsInteger="1" minValue="150" maxValue="8000"/>
    </cacheField>
    <cacheField name="Total" numFmtId="0">
      <sharedItems containsString="0" containsBlank="1" containsNumber="1" containsInteger="1" minValue="600" maxValue="128000"/>
    </cacheField>
    <cacheField name="Days (Date)" numFmtId="0" databaseField="0">
      <fieldGroup base="3">
        <rangePr groupBy="days" startDate="2025-01-01T00:00:00" endDate="2025-05-05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05-2025"/>
        </groupItems>
      </fieldGroup>
    </cacheField>
    <cacheField name="Months (Date)" numFmtId="0" databaseField="0">
      <fieldGroup base="3">
        <rangePr groupBy="months" startDate="2025-01-01T00:00:00" endDate="2025-05-05T00:00:00"/>
        <groupItems count="14">
          <s v="&lt;01-01-2025"/>
          <s v="Jan"/>
          <s v="Feb"/>
          <s v="Mar"/>
          <s v="Apr"/>
          <s v="May"/>
          <s v="Jun"/>
          <s v="Jul"/>
          <s v="Aug"/>
          <s v="Sep"/>
          <s v="Oct"/>
          <s v="Nov"/>
          <s v="Dec"/>
          <s v="&gt;05-05-2025"/>
        </groupItems>
      </fieldGroup>
    </cacheField>
  </cacheFields>
  <extLst>
    <ext xmlns:x14="http://schemas.microsoft.com/office/spreadsheetml/2009/9/main" uri="{725AE2AE-9491-48be-B2B4-4EB974FC3084}">
      <x14:pivotCacheDefinition pivotCacheId="902120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n v="1"/>
    <s v="SHIVAM VERMA"/>
    <x v="0"/>
    <x v="0"/>
    <x v="0"/>
    <n v="4"/>
    <n v="150"/>
    <n v="600"/>
  </r>
  <r>
    <n v="2"/>
    <s v="SHIVAM VERMA"/>
    <x v="0"/>
    <x v="0"/>
    <x v="1"/>
    <n v="9"/>
    <n v="350"/>
    <n v="3150"/>
  </r>
  <r>
    <n v="3"/>
    <s v="SHIVAM VERMA"/>
    <x v="0"/>
    <x v="0"/>
    <x v="2"/>
    <n v="4"/>
    <n v="1800"/>
    <n v="7200"/>
  </r>
  <r>
    <n v="4"/>
    <s v="SHIVAM VERMA"/>
    <x v="0"/>
    <x v="0"/>
    <x v="3"/>
    <n v="16"/>
    <n v="2300"/>
    <n v="36800"/>
  </r>
  <r>
    <n v="5"/>
    <s v="SHIVAM VERMA"/>
    <x v="0"/>
    <x v="0"/>
    <x v="4"/>
    <n v="13"/>
    <n v="4000"/>
    <n v="52000"/>
  </r>
  <r>
    <n v="6"/>
    <s v="SHIVAM VERMA"/>
    <x v="0"/>
    <x v="0"/>
    <x v="5"/>
    <n v="9"/>
    <n v="8000"/>
    <n v="72000"/>
  </r>
  <r>
    <n v="7"/>
    <s v="ADITYA KUMAR"/>
    <x v="1"/>
    <x v="1"/>
    <x v="0"/>
    <n v="14"/>
    <n v="150"/>
    <n v="2100"/>
  </r>
  <r>
    <n v="8"/>
    <s v="RAM PRAVESH"/>
    <x v="1"/>
    <x v="1"/>
    <x v="0"/>
    <n v="13"/>
    <n v="150"/>
    <n v="1950"/>
  </r>
  <r>
    <n v="9"/>
    <s v="ADITYA KUMAR"/>
    <x v="1"/>
    <x v="1"/>
    <x v="1"/>
    <n v="14"/>
    <n v="350"/>
    <n v="4900"/>
  </r>
  <r>
    <n v="10"/>
    <s v="RAM PRAVESH"/>
    <x v="1"/>
    <x v="1"/>
    <x v="1"/>
    <n v="11"/>
    <n v="350"/>
    <n v="3850"/>
  </r>
  <r>
    <n v="11"/>
    <s v="ADITYA KUMAR"/>
    <x v="1"/>
    <x v="1"/>
    <x v="2"/>
    <n v="15"/>
    <n v="1800"/>
    <n v="27000"/>
  </r>
  <r>
    <n v="12"/>
    <s v="RAM PRAVESH"/>
    <x v="1"/>
    <x v="1"/>
    <x v="2"/>
    <n v="7"/>
    <n v="1800"/>
    <n v="12600"/>
  </r>
  <r>
    <n v="13"/>
    <s v="ADITYA KUMAR"/>
    <x v="1"/>
    <x v="1"/>
    <x v="3"/>
    <n v="7"/>
    <n v="2300"/>
    <n v="16100"/>
  </r>
  <r>
    <n v="14"/>
    <s v="RAM PRAVESH"/>
    <x v="1"/>
    <x v="1"/>
    <x v="3"/>
    <n v="13"/>
    <n v="2300"/>
    <n v="29900"/>
  </r>
  <r>
    <n v="15"/>
    <s v="ADITYA KUMAR"/>
    <x v="1"/>
    <x v="1"/>
    <x v="4"/>
    <n v="10"/>
    <n v="4000"/>
    <n v="40000"/>
  </r>
  <r>
    <n v="16"/>
    <s v="RAM PRAVESH"/>
    <x v="1"/>
    <x v="1"/>
    <x v="4"/>
    <n v="4"/>
    <n v="4000"/>
    <n v="16000"/>
  </r>
  <r>
    <n v="17"/>
    <s v="RAM PRAVESH"/>
    <x v="1"/>
    <x v="1"/>
    <x v="5"/>
    <n v="13"/>
    <n v="8000"/>
    <n v="104000"/>
  </r>
  <r>
    <n v="18"/>
    <s v="ADITYA KUMAR"/>
    <x v="1"/>
    <x v="1"/>
    <x v="5"/>
    <n v="12"/>
    <n v="8000"/>
    <n v="96000"/>
  </r>
  <r>
    <n v="19"/>
    <s v="NITESH CHAURASIYA"/>
    <x v="2"/>
    <x v="2"/>
    <x v="0"/>
    <n v="4"/>
    <n v="150"/>
    <n v="600"/>
  </r>
  <r>
    <n v="20"/>
    <s v="NITESH CHAURASIYA"/>
    <x v="2"/>
    <x v="2"/>
    <x v="1"/>
    <n v="12"/>
    <n v="350"/>
    <n v="4200"/>
  </r>
  <r>
    <n v="21"/>
    <s v="NITESH CHAURASIYA"/>
    <x v="2"/>
    <x v="2"/>
    <x v="2"/>
    <n v="5"/>
    <n v="1800"/>
    <n v="9000"/>
  </r>
  <r>
    <n v="22"/>
    <s v="NITESH CHAURASIYA"/>
    <x v="2"/>
    <x v="2"/>
    <x v="3"/>
    <n v="10"/>
    <n v="2300"/>
    <n v="23000"/>
  </r>
  <r>
    <n v="23"/>
    <s v="NITESH CHAURASIYA"/>
    <x v="2"/>
    <x v="2"/>
    <x v="4"/>
    <n v="10"/>
    <n v="4000"/>
    <n v="40000"/>
  </r>
  <r>
    <n v="24"/>
    <s v="NITESH CHAURASIYA"/>
    <x v="2"/>
    <x v="2"/>
    <x v="5"/>
    <n v="10"/>
    <n v="8000"/>
    <n v="80000"/>
  </r>
  <r>
    <n v="25"/>
    <s v="GAJENDRA SINGH"/>
    <x v="0"/>
    <x v="3"/>
    <x v="0"/>
    <n v="11"/>
    <n v="150"/>
    <n v="1650"/>
  </r>
  <r>
    <n v="26"/>
    <s v="GAJENDRA SINGH"/>
    <x v="0"/>
    <x v="3"/>
    <x v="1"/>
    <n v="5"/>
    <n v="350"/>
    <n v="1750"/>
  </r>
  <r>
    <n v="27"/>
    <s v="GAJENDRA SINGH"/>
    <x v="0"/>
    <x v="3"/>
    <x v="2"/>
    <n v="14"/>
    <n v="1800"/>
    <n v="25200"/>
  </r>
  <r>
    <n v="28"/>
    <s v="GAJENDRA SINGH"/>
    <x v="0"/>
    <x v="3"/>
    <x v="3"/>
    <n v="6"/>
    <n v="2300"/>
    <n v="13800"/>
  </r>
  <r>
    <n v="29"/>
    <s v="GAJENDRA SINGH"/>
    <x v="0"/>
    <x v="3"/>
    <x v="4"/>
    <n v="14"/>
    <n v="4000"/>
    <n v="56000"/>
  </r>
  <r>
    <n v="30"/>
    <s v="GAJENDRA SINGH"/>
    <x v="0"/>
    <x v="3"/>
    <x v="5"/>
    <n v="14"/>
    <n v="8000"/>
    <n v="112000"/>
  </r>
  <r>
    <n v="31"/>
    <s v="ABHISHEK DIXIT"/>
    <x v="2"/>
    <x v="4"/>
    <x v="0"/>
    <n v="9"/>
    <n v="150"/>
    <n v="1350"/>
  </r>
  <r>
    <n v="32"/>
    <s v="ABHISHEK DIXIT"/>
    <x v="2"/>
    <x v="4"/>
    <x v="1"/>
    <n v="7"/>
    <n v="350"/>
    <n v="2450"/>
  </r>
  <r>
    <n v="33"/>
    <s v="ABHISHEK DIXIT"/>
    <x v="2"/>
    <x v="4"/>
    <x v="2"/>
    <n v="7"/>
    <n v="1800"/>
    <n v="12600"/>
  </r>
  <r>
    <n v="34"/>
    <s v="ABHISHEK DIXIT"/>
    <x v="2"/>
    <x v="4"/>
    <x v="3"/>
    <n v="16"/>
    <n v="2300"/>
    <n v="36800"/>
  </r>
  <r>
    <n v="35"/>
    <s v="ABHISHEK DIXIT"/>
    <x v="2"/>
    <x v="4"/>
    <x v="4"/>
    <n v="5"/>
    <n v="4000"/>
    <n v="20000"/>
  </r>
  <r>
    <n v="36"/>
    <s v="ABHISHEK DIXIT"/>
    <x v="2"/>
    <x v="4"/>
    <x v="5"/>
    <n v="6"/>
    <n v="8000"/>
    <n v="48000"/>
  </r>
  <r>
    <n v="37"/>
    <s v="SHIVAM VERMA"/>
    <x v="0"/>
    <x v="5"/>
    <x v="0"/>
    <n v="12"/>
    <n v="150"/>
    <n v="1800"/>
  </r>
  <r>
    <n v="38"/>
    <s v="SHIVAM VERMA"/>
    <x v="0"/>
    <x v="5"/>
    <x v="1"/>
    <n v="4"/>
    <n v="350"/>
    <n v="1400"/>
  </r>
  <r>
    <n v="39"/>
    <s v="SHIVAM VERMA"/>
    <x v="0"/>
    <x v="5"/>
    <x v="2"/>
    <n v="10"/>
    <n v="1800"/>
    <n v="18000"/>
  </r>
  <r>
    <n v="40"/>
    <s v="SHIVAM VERMA"/>
    <x v="0"/>
    <x v="5"/>
    <x v="3"/>
    <n v="11"/>
    <n v="2300"/>
    <n v="25300"/>
  </r>
  <r>
    <n v="41"/>
    <s v="SHIVAM VERMA"/>
    <x v="0"/>
    <x v="5"/>
    <x v="4"/>
    <n v="12"/>
    <n v="4000"/>
    <n v="48000"/>
  </r>
  <r>
    <n v="42"/>
    <s v="SHIVAM VERMA"/>
    <x v="0"/>
    <x v="5"/>
    <x v="5"/>
    <n v="11"/>
    <n v="8000"/>
    <n v="88000"/>
  </r>
  <r>
    <n v="43"/>
    <s v="ADITYA KUMAR"/>
    <x v="1"/>
    <x v="6"/>
    <x v="0"/>
    <n v="8"/>
    <n v="150"/>
    <n v="1200"/>
  </r>
  <r>
    <n v="44"/>
    <s v="RAM PRAVESH"/>
    <x v="1"/>
    <x v="6"/>
    <x v="0"/>
    <n v="12"/>
    <n v="150"/>
    <n v="1800"/>
  </r>
  <r>
    <n v="45"/>
    <s v="ADITYA KUMAR"/>
    <x v="1"/>
    <x v="6"/>
    <x v="1"/>
    <n v="4"/>
    <n v="350"/>
    <n v="1400"/>
  </r>
  <r>
    <n v="46"/>
    <s v="RAM PRAVESH"/>
    <x v="1"/>
    <x v="6"/>
    <x v="1"/>
    <n v="16"/>
    <n v="350"/>
    <n v="5600"/>
  </r>
  <r>
    <n v="47"/>
    <s v="ADITYA KUMAR"/>
    <x v="1"/>
    <x v="6"/>
    <x v="2"/>
    <n v="8"/>
    <n v="1800"/>
    <n v="14400"/>
  </r>
  <r>
    <n v="48"/>
    <s v="RAM PRAVESH"/>
    <x v="1"/>
    <x v="6"/>
    <x v="2"/>
    <n v="4"/>
    <n v="1800"/>
    <n v="7200"/>
  </r>
  <r>
    <n v="49"/>
    <s v="ADITYA KUMAR"/>
    <x v="1"/>
    <x v="6"/>
    <x v="3"/>
    <n v="6"/>
    <n v="2300"/>
    <n v="13800"/>
  </r>
  <r>
    <n v="50"/>
    <s v="RAM PRAVESH"/>
    <x v="1"/>
    <x v="6"/>
    <x v="3"/>
    <n v="10"/>
    <n v="2300"/>
    <n v="23000"/>
  </r>
  <r>
    <n v="51"/>
    <s v="ADITYA KUMAR"/>
    <x v="1"/>
    <x v="6"/>
    <x v="4"/>
    <n v="13"/>
    <n v="4000"/>
    <n v="52000"/>
  </r>
  <r>
    <n v="52"/>
    <s v="RAM PRAVESH"/>
    <x v="1"/>
    <x v="6"/>
    <x v="4"/>
    <n v="4"/>
    <n v="4000"/>
    <n v="16000"/>
  </r>
  <r>
    <n v="53"/>
    <s v="RAM PRAVESH"/>
    <x v="1"/>
    <x v="6"/>
    <x v="5"/>
    <n v="5"/>
    <n v="8000"/>
    <n v="40000"/>
  </r>
  <r>
    <n v="54"/>
    <s v="ADITYA KUMAR"/>
    <x v="1"/>
    <x v="6"/>
    <x v="5"/>
    <n v="6"/>
    <n v="8000"/>
    <n v="48000"/>
  </r>
  <r>
    <n v="55"/>
    <s v="NITESH CHAURASIYA"/>
    <x v="2"/>
    <x v="7"/>
    <x v="0"/>
    <n v="11"/>
    <n v="150"/>
    <n v="1650"/>
  </r>
  <r>
    <n v="56"/>
    <s v="NITESH CHAURASIYA"/>
    <x v="2"/>
    <x v="7"/>
    <x v="1"/>
    <n v="12"/>
    <n v="350"/>
    <n v="4200"/>
  </r>
  <r>
    <n v="57"/>
    <s v="NITESH CHAURASIYA"/>
    <x v="2"/>
    <x v="7"/>
    <x v="2"/>
    <n v="15"/>
    <n v="1800"/>
    <n v="27000"/>
  </r>
  <r>
    <n v="58"/>
    <s v="NITESH CHAURASIYA"/>
    <x v="2"/>
    <x v="7"/>
    <x v="3"/>
    <n v="5"/>
    <n v="2300"/>
    <n v="11500"/>
  </r>
  <r>
    <n v="59"/>
    <s v="NITESH CHAURASIYA"/>
    <x v="2"/>
    <x v="7"/>
    <x v="4"/>
    <n v="5"/>
    <n v="4000"/>
    <n v="20000"/>
  </r>
  <r>
    <n v="60"/>
    <s v="NITESH CHAURASIYA"/>
    <x v="2"/>
    <x v="7"/>
    <x v="5"/>
    <n v="5"/>
    <n v="8000"/>
    <n v="40000"/>
  </r>
  <r>
    <n v="61"/>
    <s v="GAJENDRA SINGH"/>
    <x v="0"/>
    <x v="8"/>
    <x v="0"/>
    <n v="5"/>
    <n v="150"/>
    <n v="750"/>
  </r>
  <r>
    <n v="62"/>
    <s v="GAJENDRA SINGH"/>
    <x v="0"/>
    <x v="8"/>
    <x v="1"/>
    <n v="14"/>
    <n v="350"/>
    <n v="4900"/>
  </r>
  <r>
    <n v="63"/>
    <s v="GAJENDRA SINGH"/>
    <x v="0"/>
    <x v="8"/>
    <x v="2"/>
    <n v="15"/>
    <n v="1800"/>
    <n v="27000"/>
  </r>
  <r>
    <n v="64"/>
    <s v="GAJENDRA SINGH"/>
    <x v="0"/>
    <x v="8"/>
    <x v="3"/>
    <n v="4"/>
    <n v="2300"/>
    <n v="9200"/>
  </r>
  <r>
    <n v="65"/>
    <s v="GAJENDRA SINGH"/>
    <x v="0"/>
    <x v="8"/>
    <x v="4"/>
    <n v="7"/>
    <n v="4000"/>
    <n v="28000"/>
  </r>
  <r>
    <n v="66"/>
    <s v="GAJENDRA SINGH"/>
    <x v="0"/>
    <x v="8"/>
    <x v="5"/>
    <n v="16"/>
    <n v="8000"/>
    <n v="128000"/>
  </r>
  <r>
    <n v="67"/>
    <s v="ABHISHEK DIXIT"/>
    <x v="2"/>
    <x v="9"/>
    <x v="0"/>
    <n v="10"/>
    <n v="150"/>
    <n v="1500"/>
  </r>
  <r>
    <n v="68"/>
    <s v="ABHISHEK DIXIT"/>
    <x v="2"/>
    <x v="9"/>
    <x v="1"/>
    <n v="10"/>
    <n v="350"/>
    <n v="3500"/>
  </r>
  <r>
    <n v="69"/>
    <s v="ABHISHEK DIXIT"/>
    <x v="2"/>
    <x v="9"/>
    <x v="2"/>
    <n v="12"/>
    <n v="1800"/>
    <n v="21600"/>
  </r>
  <r>
    <n v="70"/>
    <s v="ABHISHEK DIXIT"/>
    <x v="2"/>
    <x v="9"/>
    <x v="3"/>
    <n v="8"/>
    <n v="2300"/>
    <n v="18400"/>
  </r>
  <r>
    <n v="71"/>
    <s v="ABHISHEK DIXIT"/>
    <x v="2"/>
    <x v="9"/>
    <x v="4"/>
    <n v="11"/>
    <n v="4000"/>
    <n v="44000"/>
  </r>
  <r>
    <n v="72"/>
    <s v="ABHISHEK DIXIT"/>
    <x v="2"/>
    <x v="9"/>
    <x v="5"/>
    <n v="16"/>
    <n v="8000"/>
    <n v="128000"/>
  </r>
  <r>
    <n v="73"/>
    <s v="SHIVAM VERMA"/>
    <x v="0"/>
    <x v="10"/>
    <x v="0"/>
    <n v="5"/>
    <n v="150"/>
    <n v="750"/>
  </r>
  <r>
    <n v="74"/>
    <s v="SHIVAM VERMA"/>
    <x v="0"/>
    <x v="10"/>
    <x v="1"/>
    <n v="12"/>
    <n v="350"/>
    <n v="4200"/>
  </r>
  <r>
    <n v="75"/>
    <s v="SHIVAM VERMA"/>
    <x v="0"/>
    <x v="10"/>
    <x v="2"/>
    <n v="14"/>
    <n v="1800"/>
    <n v="25200"/>
  </r>
  <r>
    <n v="76"/>
    <s v="SHIVAM VERMA"/>
    <x v="0"/>
    <x v="10"/>
    <x v="3"/>
    <n v="8"/>
    <n v="2300"/>
    <n v="18400"/>
  </r>
  <r>
    <n v="77"/>
    <s v="SHIVAM VERMA"/>
    <x v="0"/>
    <x v="10"/>
    <x v="4"/>
    <n v="16"/>
    <n v="4000"/>
    <n v="64000"/>
  </r>
  <r>
    <n v="78"/>
    <s v="SHIVAM VERMA"/>
    <x v="0"/>
    <x v="10"/>
    <x v="5"/>
    <n v="15"/>
    <n v="8000"/>
    <n v="120000"/>
  </r>
  <r>
    <n v="79"/>
    <s v="ADITYA KUMAR"/>
    <x v="1"/>
    <x v="11"/>
    <x v="0"/>
    <n v="4"/>
    <n v="150"/>
    <n v="600"/>
  </r>
  <r>
    <n v="80"/>
    <s v="RAM PRAVESH"/>
    <x v="1"/>
    <x v="11"/>
    <x v="0"/>
    <n v="4"/>
    <n v="150"/>
    <n v="600"/>
  </r>
  <r>
    <n v="81"/>
    <s v="ADITYA KUMAR"/>
    <x v="1"/>
    <x v="11"/>
    <x v="1"/>
    <n v="12"/>
    <n v="350"/>
    <n v="4200"/>
  </r>
  <r>
    <n v="82"/>
    <s v="RAM PRAVESH"/>
    <x v="1"/>
    <x v="11"/>
    <x v="1"/>
    <n v="4"/>
    <n v="350"/>
    <n v="1400"/>
  </r>
  <r>
    <n v="83"/>
    <s v="ADITYA KUMAR"/>
    <x v="1"/>
    <x v="11"/>
    <x v="2"/>
    <n v="5"/>
    <n v="1800"/>
    <n v="9000"/>
  </r>
  <r>
    <n v="84"/>
    <s v="RAM PRAVESH"/>
    <x v="1"/>
    <x v="11"/>
    <x v="2"/>
    <n v="5"/>
    <n v="1800"/>
    <n v="9000"/>
  </r>
  <r>
    <n v="85"/>
    <s v="ADITYA KUMAR"/>
    <x v="1"/>
    <x v="11"/>
    <x v="3"/>
    <n v="15"/>
    <n v="2300"/>
    <n v="34500"/>
  </r>
  <r>
    <n v="86"/>
    <s v="RAM PRAVESH"/>
    <x v="1"/>
    <x v="11"/>
    <x v="3"/>
    <n v="11"/>
    <n v="2300"/>
    <n v="25300"/>
  </r>
  <r>
    <n v="87"/>
    <s v="ADITYA KUMAR"/>
    <x v="1"/>
    <x v="11"/>
    <x v="4"/>
    <n v="8"/>
    <n v="4000"/>
    <n v="32000"/>
  </r>
  <r>
    <n v="88"/>
    <s v="RAM PRAVESH"/>
    <x v="1"/>
    <x v="11"/>
    <x v="4"/>
    <n v="15"/>
    <n v="4000"/>
    <n v="60000"/>
  </r>
  <r>
    <n v="89"/>
    <s v="RAM PRAVESH"/>
    <x v="1"/>
    <x v="11"/>
    <x v="5"/>
    <n v="6"/>
    <n v="8000"/>
    <n v="48000"/>
  </r>
  <r>
    <n v="90"/>
    <s v="ADITYA KUMAR"/>
    <x v="1"/>
    <x v="11"/>
    <x v="5"/>
    <n v="8"/>
    <n v="8000"/>
    <n v="64000"/>
  </r>
  <r>
    <n v="91"/>
    <s v="NITESH CHAURASIYA"/>
    <x v="2"/>
    <x v="12"/>
    <x v="0"/>
    <n v="5"/>
    <n v="150"/>
    <n v="750"/>
  </r>
  <r>
    <n v="92"/>
    <s v="NITESH CHAURASIYA"/>
    <x v="2"/>
    <x v="12"/>
    <x v="1"/>
    <n v="6"/>
    <n v="350"/>
    <n v="2100"/>
  </r>
  <r>
    <n v="93"/>
    <s v="NITESH CHAURASIYA"/>
    <x v="2"/>
    <x v="12"/>
    <x v="2"/>
    <n v="12"/>
    <n v="1800"/>
    <n v="21600"/>
  </r>
  <r>
    <n v="94"/>
    <s v="NITESH CHAURASIYA"/>
    <x v="2"/>
    <x v="12"/>
    <x v="3"/>
    <n v="6"/>
    <n v="2300"/>
    <n v="13800"/>
  </r>
  <r>
    <n v="95"/>
    <s v="NITESH CHAURASIYA"/>
    <x v="2"/>
    <x v="12"/>
    <x v="4"/>
    <n v="8"/>
    <n v="4000"/>
    <n v="32000"/>
  </r>
  <r>
    <n v="96"/>
    <s v="NITESH CHAURASIYA"/>
    <x v="2"/>
    <x v="12"/>
    <x v="5"/>
    <n v="15"/>
    <n v="8000"/>
    <n v="120000"/>
  </r>
  <r>
    <n v="97"/>
    <s v="GAJENDRA SINGH"/>
    <x v="0"/>
    <x v="13"/>
    <x v="0"/>
    <n v="10"/>
    <n v="150"/>
    <n v="1500"/>
  </r>
  <r>
    <n v="98"/>
    <s v="GAJENDRA SINGH"/>
    <x v="0"/>
    <x v="13"/>
    <x v="1"/>
    <n v="9"/>
    <n v="350"/>
    <n v="3150"/>
  </r>
  <r>
    <n v="99"/>
    <s v="GAJENDRA SINGH"/>
    <x v="0"/>
    <x v="13"/>
    <x v="2"/>
    <n v="9"/>
    <n v="1800"/>
    <n v="16200"/>
  </r>
  <r>
    <n v="100"/>
    <s v="GAJENDRA SINGH"/>
    <x v="0"/>
    <x v="13"/>
    <x v="3"/>
    <n v="16"/>
    <n v="2300"/>
    <n v="36800"/>
  </r>
  <r>
    <n v="101"/>
    <s v="GAJENDRA SINGH"/>
    <x v="0"/>
    <x v="13"/>
    <x v="4"/>
    <n v="11"/>
    <n v="4000"/>
    <n v="44000"/>
  </r>
  <r>
    <n v="102"/>
    <s v="GAJENDRA SINGH"/>
    <x v="0"/>
    <x v="13"/>
    <x v="5"/>
    <n v="8"/>
    <n v="8000"/>
    <n v="64000"/>
  </r>
  <r>
    <n v="103"/>
    <s v="ABHISHEK DIXIT"/>
    <x v="2"/>
    <x v="14"/>
    <x v="0"/>
    <n v="11"/>
    <n v="150"/>
    <n v="1650"/>
  </r>
  <r>
    <n v="104"/>
    <s v="ABHISHEK DIXIT"/>
    <x v="2"/>
    <x v="14"/>
    <x v="1"/>
    <n v="4"/>
    <n v="350"/>
    <n v="1400"/>
  </r>
  <r>
    <n v="105"/>
    <s v="ABHISHEK DIXIT"/>
    <x v="2"/>
    <x v="14"/>
    <x v="2"/>
    <n v="15"/>
    <n v="1800"/>
    <n v="27000"/>
  </r>
  <r>
    <n v="106"/>
    <s v="ABHISHEK DIXIT"/>
    <x v="2"/>
    <x v="14"/>
    <x v="3"/>
    <n v="11"/>
    <n v="2300"/>
    <n v="25300"/>
  </r>
  <r>
    <n v="107"/>
    <s v="ABHISHEK DIXIT"/>
    <x v="2"/>
    <x v="14"/>
    <x v="4"/>
    <n v="14"/>
    <n v="4000"/>
    <n v="56000"/>
  </r>
  <r>
    <n v="108"/>
    <s v="ABHISHEK DIXIT"/>
    <x v="2"/>
    <x v="14"/>
    <x v="5"/>
    <n v="15"/>
    <n v="8000"/>
    <n v="120000"/>
  </r>
  <r>
    <n v="109"/>
    <s v="SHIVAM VERMA"/>
    <x v="0"/>
    <x v="15"/>
    <x v="0"/>
    <n v="4"/>
    <n v="150"/>
    <n v="600"/>
  </r>
  <r>
    <n v="110"/>
    <s v="SHIVAM VERMA"/>
    <x v="0"/>
    <x v="15"/>
    <x v="1"/>
    <n v="7"/>
    <n v="350"/>
    <n v="2450"/>
  </r>
  <r>
    <n v="111"/>
    <s v="SHIVAM VERMA"/>
    <x v="0"/>
    <x v="15"/>
    <x v="2"/>
    <n v="12"/>
    <n v="1800"/>
    <n v="21600"/>
  </r>
  <r>
    <n v="112"/>
    <s v="SHIVAM VERMA"/>
    <x v="0"/>
    <x v="15"/>
    <x v="3"/>
    <n v="15"/>
    <n v="2300"/>
    <n v="34500"/>
  </r>
  <r>
    <n v="113"/>
    <s v="SHIVAM VERMA"/>
    <x v="0"/>
    <x v="15"/>
    <x v="4"/>
    <n v="12"/>
    <n v="4000"/>
    <n v="48000"/>
  </r>
  <r>
    <n v="114"/>
    <s v="SHIVAM VERMA"/>
    <x v="0"/>
    <x v="15"/>
    <x v="5"/>
    <n v="10"/>
    <n v="8000"/>
    <n v="80000"/>
  </r>
  <r>
    <n v="115"/>
    <s v="ADITYA KUMAR"/>
    <x v="1"/>
    <x v="16"/>
    <x v="0"/>
    <n v="14"/>
    <n v="150"/>
    <n v="2100"/>
  </r>
  <r>
    <n v="116"/>
    <s v="RAM PRAVESH"/>
    <x v="1"/>
    <x v="16"/>
    <x v="0"/>
    <n v="11"/>
    <n v="150"/>
    <n v="1650"/>
  </r>
  <r>
    <n v="117"/>
    <s v="ADITYA KUMAR"/>
    <x v="1"/>
    <x v="16"/>
    <x v="1"/>
    <n v="9"/>
    <n v="350"/>
    <n v="3150"/>
  </r>
  <r>
    <n v="118"/>
    <s v="RAM PRAVESH"/>
    <x v="1"/>
    <x v="16"/>
    <x v="1"/>
    <n v="4"/>
    <n v="350"/>
    <n v="1400"/>
  </r>
  <r>
    <n v="119"/>
    <s v="ADITYA KUMAR"/>
    <x v="1"/>
    <x v="16"/>
    <x v="2"/>
    <n v="15"/>
    <n v="1800"/>
    <n v="27000"/>
  </r>
  <r>
    <n v="120"/>
    <s v="RAM PRAVESH"/>
    <x v="1"/>
    <x v="16"/>
    <x v="2"/>
    <n v="16"/>
    <n v="1800"/>
    <n v="28800"/>
  </r>
  <r>
    <n v="121"/>
    <s v="ADITYA KUMAR"/>
    <x v="1"/>
    <x v="16"/>
    <x v="3"/>
    <n v="14"/>
    <n v="2300"/>
    <n v="32200"/>
  </r>
  <r>
    <n v="122"/>
    <s v="RAM PRAVESH"/>
    <x v="1"/>
    <x v="16"/>
    <x v="3"/>
    <n v="14"/>
    <n v="2300"/>
    <n v="32200"/>
  </r>
  <r>
    <n v="123"/>
    <s v="ADITYA KUMAR"/>
    <x v="1"/>
    <x v="16"/>
    <x v="4"/>
    <n v="9"/>
    <n v="4000"/>
    <n v="36000"/>
  </r>
  <r>
    <n v="124"/>
    <s v="RAM PRAVESH"/>
    <x v="1"/>
    <x v="16"/>
    <x v="4"/>
    <n v="5"/>
    <n v="4000"/>
    <n v="20000"/>
  </r>
  <r>
    <n v="125"/>
    <s v="RAM PRAVESH"/>
    <x v="1"/>
    <x v="16"/>
    <x v="5"/>
    <n v="15"/>
    <n v="8000"/>
    <n v="120000"/>
  </r>
  <r>
    <n v="126"/>
    <s v="ADITYA KUMAR"/>
    <x v="1"/>
    <x v="16"/>
    <x v="5"/>
    <n v="4"/>
    <n v="8000"/>
    <n v="32000"/>
  </r>
  <r>
    <n v="127"/>
    <s v="NITESH CHAURASIYA"/>
    <x v="2"/>
    <x v="17"/>
    <x v="0"/>
    <n v="9"/>
    <n v="150"/>
    <n v="1350"/>
  </r>
  <r>
    <n v="128"/>
    <s v="NITESH CHAURASIYA"/>
    <x v="2"/>
    <x v="17"/>
    <x v="1"/>
    <n v="8"/>
    <n v="350"/>
    <n v="2800"/>
  </r>
  <r>
    <n v="129"/>
    <s v="NITESH CHAURASIYA"/>
    <x v="2"/>
    <x v="17"/>
    <x v="2"/>
    <n v="6"/>
    <n v="1800"/>
    <n v="10800"/>
  </r>
  <r>
    <n v="130"/>
    <s v="NITESH CHAURASIYA"/>
    <x v="2"/>
    <x v="17"/>
    <x v="3"/>
    <n v="12"/>
    <n v="2300"/>
    <n v="27600"/>
  </r>
  <r>
    <n v="131"/>
    <s v="NITESH CHAURASIYA"/>
    <x v="2"/>
    <x v="17"/>
    <x v="4"/>
    <n v="9"/>
    <n v="4000"/>
    <n v="36000"/>
  </r>
  <r>
    <n v="132"/>
    <s v="NITESH CHAURASIYA"/>
    <x v="2"/>
    <x v="17"/>
    <x v="5"/>
    <n v="7"/>
    <n v="8000"/>
    <n v="56000"/>
  </r>
  <r>
    <n v="133"/>
    <s v="GAJENDRA SINGH"/>
    <x v="0"/>
    <x v="18"/>
    <x v="0"/>
    <n v="15"/>
    <n v="150"/>
    <n v="2250"/>
  </r>
  <r>
    <n v="134"/>
    <s v="GAJENDRA SINGH"/>
    <x v="0"/>
    <x v="18"/>
    <x v="1"/>
    <n v="13"/>
    <n v="350"/>
    <n v="4550"/>
  </r>
  <r>
    <n v="135"/>
    <s v="GAJENDRA SINGH"/>
    <x v="0"/>
    <x v="18"/>
    <x v="2"/>
    <n v="10"/>
    <n v="1800"/>
    <n v="18000"/>
  </r>
  <r>
    <n v="136"/>
    <s v="GAJENDRA SINGH"/>
    <x v="0"/>
    <x v="18"/>
    <x v="3"/>
    <n v="15"/>
    <n v="2300"/>
    <n v="34500"/>
  </r>
  <r>
    <n v="137"/>
    <s v="GAJENDRA SINGH"/>
    <x v="0"/>
    <x v="18"/>
    <x v="4"/>
    <n v="16"/>
    <n v="4000"/>
    <n v="64000"/>
  </r>
  <r>
    <n v="138"/>
    <s v="GAJENDRA SINGH"/>
    <x v="0"/>
    <x v="18"/>
    <x v="5"/>
    <n v="9"/>
    <n v="8000"/>
    <n v="72000"/>
  </r>
  <r>
    <n v="139"/>
    <s v="ABHISHEK DIXIT"/>
    <x v="2"/>
    <x v="19"/>
    <x v="0"/>
    <n v="13"/>
    <n v="150"/>
    <n v="1950"/>
  </r>
  <r>
    <n v="140"/>
    <s v="ABHISHEK DIXIT"/>
    <x v="2"/>
    <x v="19"/>
    <x v="1"/>
    <n v="11"/>
    <n v="350"/>
    <n v="3850"/>
  </r>
  <r>
    <n v="141"/>
    <s v="ABHISHEK DIXIT"/>
    <x v="2"/>
    <x v="19"/>
    <x v="2"/>
    <n v="13"/>
    <n v="1800"/>
    <n v="23400"/>
  </r>
  <r>
    <n v="142"/>
    <s v="ABHISHEK DIXIT"/>
    <x v="2"/>
    <x v="19"/>
    <x v="3"/>
    <n v="14"/>
    <n v="2300"/>
    <n v="32200"/>
  </r>
  <r>
    <n v="143"/>
    <s v="ABHISHEK DIXIT"/>
    <x v="2"/>
    <x v="19"/>
    <x v="4"/>
    <n v="13"/>
    <n v="4000"/>
    <n v="52000"/>
  </r>
  <r>
    <n v="144"/>
    <s v="ABHISHEK DIXIT"/>
    <x v="2"/>
    <x v="19"/>
    <x v="5"/>
    <n v="9"/>
    <n v="8000"/>
    <n v="72000"/>
  </r>
  <r>
    <m/>
    <m/>
    <x v="3"/>
    <x v="20"/>
    <x v="6"/>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0581CE-BEDB-4F19-AF60-ED30CAFC5A33}" name="PivotTable6"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3:A34" firstHeaderRow="1" firstDataRow="1" firstDataCol="0"/>
  <pivotFields count="10">
    <pivotField showAll="0"/>
    <pivotField showAll="0"/>
    <pivotField showAll="0">
      <items count="5">
        <item x="1"/>
        <item x="2"/>
        <item x="0"/>
        <item x="3"/>
        <item t="default"/>
      </items>
    </pivotField>
    <pivotField showAll="0">
      <items count="22">
        <item x="0"/>
        <item x="5"/>
        <item x="10"/>
        <item x="15"/>
        <item x="1"/>
        <item x="6"/>
        <item x="11"/>
        <item x="16"/>
        <item x="2"/>
        <item x="7"/>
        <item x="12"/>
        <item x="17"/>
        <item x="3"/>
        <item x="8"/>
        <item x="13"/>
        <item x="18"/>
        <item x="4"/>
        <item x="9"/>
        <item x="14"/>
        <item x="19"/>
        <item x="20"/>
        <item t="default"/>
      </items>
    </pivotField>
    <pivotField showAll="0">
      <items count="8">
        <item x="1"/>
        <item x="5"/>
        <item x="4"/>
        <item x="0"/>
        <item x="2"/>
        <item x="3"/>
        <item x="6"/>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Total" fld="7" baseField="0" baseItem="0"/>
  </dataFields>
  <pivotTableStyleInfo name="PivotStyleLight16" showRowHeaders="1" showColHeaders="1" showRowStripes="0" showColStripes="0" showLastColumn="1"/>
  <filters count="1">
    <filter fld="3" type="dateBetween" evalOrder="-1" id="135" name="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F98060-0DDF-4E93-9F5A-D70A31C6CC14}" name="PivotTable5"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22:B29" firstHeaderRow="1" firstDataRow="1" firstDataCol="1"/>
  <pivotFields count="10">
    <pivotField showAll="0"/>
    <pivotField showAll="0"/>
    <pivotField showAll="0">
      <items count="5">
        <item x="1"/>
        <item x="2"/>
        <item x="0"/>
        <item x="3"/>
        <item t="default"/>
      </items>
    </pivotField>
    <pivotField showAll="0">
      <items count="22">
        <item x="0"/>
        <item x="5"/>
        <item x="10"/>
        <item x="15"/>
        <item x="1"/>
        <item x="6"/>
        <item x="11"/>
        <item x="16"/>
        <item x="2"/>
        <item x="7"/>
        <item x="12"/>
        <item x="17"/>
        <item x="3"/>
        <item x="8"/>
        <item x="13"/>
        <item x="18"/>
        <item x="4"/>
        <item x="9"/>
        <item x="14"/>
        <item x="19"/>
        <item x="20"/>
        <item t="default"/>
      </items>
    </pivotField>
    <pivotField axis="axisRow" showAll="0">
      <items count="8">
        <item x="1"/>
        <item x="5"/>
        <item x="4"/>
        <item x="0"/>
        <item x="2"/>
        <item x="3"/>
        <item x="6"/>
        <item t="default"/>
      </items>
    </pivotField>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9">
    <chartFormat chart="1"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4" count="1" selected="0">
            <x v="0"/>
          </reference>
        </references>
      </pivotArea>
    </chartFormat>
    <chartFormat chart="3" format="11">
      <pivotArea type="data" outline="0" fieldPosition="0">
        <references count="2">
          <reference field="4294967294" count="1" selected="0">
            <x v="0"/>
          </reference>
          <reference field="4" count="1" selected="0">
            <x v="1"/>
          </reference>
        </references>
      </pivotArea>
    </chartFormat>
    <chartFormat chart="3" format="12">
      <pivotArea type="data" outline="0" fieldPosition="0">
        <references count="2">
          <reference field="4294967294" count="1" selected="0">
            <x v="0"/>
          </reference>
          <reference field="4" count="1" selected="0">
            <x v="2"/>
          </reference>
        </references>
      </pivotArea>
    </chartFormat>
    <chartFormat chart="3" format="13">
      <pivotArea type="data" outline="0" fieldPosition="0">
        <references count="2">
          <reference field="4294967294" count="1" selected="0">
            <x v="0"/>
          </reference>
          <reference field="4" count="1" selected="0">
            <x v="3"/>
          </reference>
        </references>
      </pivotArea>
    </chartFormat>
    <chartFormat chart="3" format="14">
      <pivotArea type="data" outline="0" fieldPosition="0">
        <references count="2">
          <reference field="4294967294" count="1" selected="0">
            <x v="0"/>
          </reference>
          <reference field="4" count="1" selected="0">
            <x v="4"/>
          </reference>
        </references>
      </pivotArea>
    </chartFormat>
    <chartFormat chart="3" format="15">
      <pivotArea type="data" outline="0" fieldPosition="0">
        <references count="2">
          <reference field="4294967294" count="1" selected="0">
            <x v="0"/>
          </reference>
          <reference field="4" count="1" selected="0">
            <x v="5"/>
          </reference>
        </references>
      </pivotArea>
    </chartFormat>
    <chartFormat chart="3" format="16">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filters count="1">
    <filter fld="3" type="dateBetween" evalOrder="-1" id="135" name="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48C829-33B5-4307-9BAE-AB5931863B0E}" name="PivotTable4"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3:B17" firstHeaderRow="1" firstDataRow="1" firstDataCol="1"/>
  <pivotFields count="10">
    <pivotField showAll="0"/>
    <pivotField showAll="0"/>
    <pivotField axis="axisRow" showAll="0">
      <items count="5">
        <item x="1"/>
        <item x="2"/>
        <item x="0"/>
        <item x="3"/>
        <item t="default"/>
      </items>
    </pivotField>
    <pivotField showAll="0">
      <items count="22">
        <item x="0"/>
        <item x="5"/>
        <item x="10"/>
        <item x="15"/>
        <item x="1"/>
        <item x="6"/>
        <item x="11"/>
        <item x="16"/>
        <item x="2"/>
        <item x="7"/>
        <item x="12"/>
        <item x="17"/>
        <item x="3"/>
        <item x="8"/>
        <item x="13"/>
        <item x="18"/>
        <item x="4"/>
        <item x="9"/>
        <item x="14"/>
        <item x="19"/>
        <item x="20"/>
        <item t="default"/>
      </items>
    </pivotField>
    <pivotField showAll="0">
      <items count="8">
        <item x="1"/>
        <item x="5"/>
        <item x="4"/>
        <item x="0"/>
        <item x="2"/>
        <item x="3"/>
        <item x="6"/>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1"/>
    </i>
    <i>
      <x v="2"/>
    </i>
    <i t="grand">
      <x/>
    </i>
  </rowItems>
  <colItems count="1">
    <i/>
  </colItems>
  <dataFields count="1">
    <dataField name="Sum of Total" fld="7"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135" name="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2A8247-D4B3-4CC3-8B05-414FBF6B73A7}" name="PivotTable3"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7" firstHeaderRow="1" firstDataRow="1" firstDataCol="1"/>
  <pivotFields count="10">
    <pivotField showAll="0"/>
    <pivotField showAll="0"/>
    <pivotField showAll="0">
      <items count="5">
        <item x="1"/>
        <item x="2"/>
        <item x="0"/>
        <item x="3"/>
        <item t="default"/>
      </items>
    </pivotField>
    <pivotField showAll="0">
      <items count="22">
        <item x="0"/>
        <item x="5"/>
        <item x="10"/>
        <item x="15"/>
        <item x="1"/>
        <item x="6"/>
        <item x="11"/>
        <item x="16"/>
        <item x="2"/>
        <item x="7"/>
        <item x="12"/>
        <item x="17"/>
        <item x="3"/>
        <item x="8"/>
        <item x="13"/>
        <item x="18"/>
        <item x="4"/>
        <item x="9"/>
        <item x="14"/>
        <item x="19"/>
        <item x="20"/>
        <item t="default"/>
      </items>
    </pivotField>
    <pivotField showAll="0">
      <items count="8">
        <item x="1"/>
        <item x="5"/>
        <item x="4"/>
        <item x="0"/>
        <item x="2"/>
        <item x="3"/>
        <item x="6"/>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4">
    <i>
      <x v="1"/>
    </i>
    <i>
      <x v="2"/>
    </i>
    <i>
      <x v="3"/>
    </i>
    <i t="grand">
      <x/>
    </i>
  </rowItems>
  <colItems count="1">
    <i/>
  </colItems>
  <dataFields count="1">
    <dataField name="Sum of Total"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135" name="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CAAD680-8482-43AA-BF6B-1869054EB7C0}" sourceName="City">
  <pivotTables>
    <pivotTable tabId="2" name="PivotTable3"/>
    <pivotTable tabId="2" name="PivotTable4"/>
    <pivotTable tabId="2" name="PivotTable5"/>
    <pivotTable tabId="2" name="PivotTable6"/>
  </pivotTables>
  <data>
    <tabular pivotCacheId="902120679">
      <items count="4">
        <i x="1" s="1"/>
        <i x="0" s="1"/>
        <i x="2"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05C8E46F-29CC-41BC-AFA1-38DC46165D73}" sourceName="Item">
  <pivotTables>
    <pivotTable tabId="2" name="PivotTable3"/>
    <pivotTable tabId="2" name="PivotTable4"/>
    <pivotTable tabId="2" name="PivotTable5"/>
    <pivotTable tabId="2" name="PivotTable6"/>
  </pivotTables>
  <data>
    <tabular pivotCacheId="902120679">
      <items count="7">
        <i x="1" s="1"/>
        <i x="5" s="1"/>
        <i x="4" s="1"/>
        <i x="0" s="1"/>
        <i x="2" s="1"/>
        <i x="3"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A77543E-CD9E-4861-8F39-437E6FADA546}" cache="Slicer_City" caption="City" rowHeight="234950"/>
  <slicer name="Item" xr10:uid="{40AAE3E5-C071-4E15-85F3-7AA8FAF93DAB}" cache="Slicer_Item" caption="Ite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019B806C-DE3A-4FDC-863A-B3723ED9F5D4}" cache="Slicer_City" caption="City" rowHeight="234950"/>
  <slicer name="Item 1" xr10:uid="{2E405996-3DB5-4F08-B78C-91DF856334A1}" cache="Slicer_Item" caption="Item"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AAE059-37C1-4AF8-BDD2-3843A75C8D7B}" name="Table1" displayName="Table1" ref="A1:H145" totalsRowShown="0" headerRowDxfId="2">
  <autoFilter ref="A1:H145" xr:uid="{ECAAE059-37C1-4AF8-BDD2-3843A75C8D7B}"/>
  <tableColumns count="8">
    <tableColumn id="1" xr3:uid="{EC76C228-4319-4F3E-A5FD-F9FF797702A7}" name="S.N" dataDxfId="1"/>
    <tableColumn id="2" xr3:uid="{92A6396C-E860-4E37-ABC4-82129EE7B116}" name="Seller"/>
    <tableColumn id="3" xr3:uid="{986E3E24-DC5B-4ADB-A1BF-975FA29805F1}" name="City"/>
    <tableColumn id="4" xr3:uid="{11537BD2-A0F7-4501-8625-34C50C139F9F}" name="Date" dataDxfId="0"/>
    <tableColumn id="5" xr3:uid="{F242E17A-475C-4095-AE55-37D6EA5CED4C}" name="Item"/>
    <tableColumn id="6" xr3:uid="{7D12B81E-011F-4E2D-97C7-04F4A5B577EF}" name="Qty"/>
    <tableColumn id="7" xr3:uid="{2E2AF73E-7C51-4459-81DD-85B4AF083E2E}" name="Rate"/>
    <tableColumn id="8" xr3:uid="{CC75B1CF-40FB-405C-A1D1-350E31EA52C2}" name="Tota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EDD5921-B2D5-4243-83BB-FB0B7EE3FC11}" sourceName="Date">
  <pivotTables>
    <pivotTable tabId="2" name="PivotTable3"/>
    <pivotTable tabId="2" name="PivotTable4"/>
    <pivotTable tabId="2" name="PivotTable5"/>
    <pivotTable tabId="2" name="PivotTable6"/>
  </pivotTables>
  <state minimalRefreshVersion="6" lastRefreshVersion="6" pivotCacheId="902120679" filterType="dateBetween">
    <selection startDate="2025-01-01T00:00:00" endDate="2025-03-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A2620AB-6D1D-4D60-9377-BEC45A639D34}" cache="NativeTimeline_Date" caption="Date" showSelectionLabel="0" showTimeLevel="0" showHorizontalScrollbar="0" level="2" selectionLevel="1" scrollPosition="2025-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6B12903-7A33-45F8-943E-6F6913C8CDCF}" cache="NativeTimeline_Date" caption="Date" showSelectionLabel="0" showTimeLevel="0" showHorizontalScrollbar="0" level="2" selectionLevel="1" scrollPosition="2025-01-01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783C-96FB-406C-A088-C88581462FF5}">
  <dimension ref="A3:B34"/>
  <sheetViews>
    <sheetView topLeftCell="A16" workbookViewId="0">
      <selection activeCell="F36" sqref="F36"/>
    </sheetView>
  </sheetViews>
  <sheetFormatPr defaultRowHeight="14.4" x14ac:dyDescent="0.3"/>
  <cols>
    <col min="1" max="1" width="11.6640625" bestFit="1" customWidth="1"/>
    <col min="2" max="3" width="10.44140625" bestFit="1" customWidth="1"/>
  </cols>
  <sheetData>
    <row r="3" spans="1:2" x14ac:dyDescent="0.3">
      <c r="A3" s="5" t="s">
        <v>23</v>
      </c>
      <c r="B3" t="s">
        <v>28</v>
      </c>
    </row>
    <row r="4" spans="1:2" x14ac:dyDescent="0.3">
      <c r="A4" s="6" t="s">
        <v>25</v>
      </c>
      <c r="B4" s="7">
        <v>773950</v>
      </c>
    </row>
    <row r="5" spans="1:2" x14ac:dyDescent="0.3">
      <c r="A5" s="6" t="s">
        <v>26</v>
      </c>
      <c r="B5" s="7">
        <v>1203900</v>
      </c>
    </row>
    <row r="6" spans="1:2" x14ac:dyDescent="0.3">
      <c r="A6" s="6" t="s">
        <v>27</v>
      </c>
      <c r="B6" s="7">
        <v>585950</v>
      </c>
    </row>
    <row r="7" spans="1:2" x14ac:dyDescent="0.3">
      <c r="A7" s="6" t="s">
        <v>24</v>
      </c>
      <c r="B7" s="7">
        <v>2563800</v>
      </c>
    </row>
    <row r="13" spans="1:2" x14ac:dyDescent="0.3">
      <c r="A13" s="5" t="s">
        <v>23</v>
      </c>
      <c r="B13" t="s">
        <v>28</v>
      </c>
    </row>
    <row r="14" spans="1:2" x14ac:dyDescent="0.3">
      <c r="A14" s="6" t="s">
        <v>17</v>
      </c>
      <c r="B14" s="7">
        <v>1203900</v>
      </c>
    </row>
    <row r="15" spans="1:2" x14ac:dyDescent="0.3">
      <c r="A15" s="6" t="s">
        <v>20</v>
      </c>
      <c r="B15" s="7">
        <v>585950</v>
      </c>
    </row>
    <row r="16" spans="1:2" x14ac:dyDescent="0.3">
      <c r="A16" s="6" t="s">
        <v>9</v>
      </c>
      <c r="B16" s="7">
        <v>773950</v>
      </c>
    </row>
    <row r="17" spans="1:2" x14ac:dyDescent="0.3">
      <c r="A17" s="6" t="s">
        <v>24</v>
      </c>
      <c r="B17" s="7">
        <v>2563800</v>
      </c>
    </row>
    <row r="22" spans="1:2" x14ac:dyDescent="0.3">
      <c r="A22" s="5" t="s">
        <v>23</v>
      </c>
      <c r="B22" t="s">
        <v>29</v>
      </c>
    </row>
    <row r="23" spans="1:2" x14ac:dyDescent="0.3">
      <c r="A23" s="6" t="s">
        <v>11</v>
      </c>
      <c r="B23" s="7">
        <v>144</v>
      </c>
    </row>
    <row r="24" spans="1:2" x14ac:dyDescent="0.3">
      <c r="A24" s="6" t="s">
        <v>15</v>
      </c>
      <c r="B24" s="7">
        <v>151</v>
      </c>
    </row>
    <row r="25" spans="1:2" x14ac:dyDescent="0.3">
      <c r="A25" s="6" t="s">
        <v>14</v>
      </c>
      <c r="B25" s="7">
        <v>153</v>
      </c>
    </row>
    <row r="26" spans="1:2" x14ac:dyDescent="0.3">
      <c r="A26" s="6" t="s">
        <v>10</v>
      </c>
      <c r="B26" s="7">
        <v>134</v>
      </c>
    </row>
    <row r="27" spans="1:2" x14ac:dyDescent="0.3">
      <c r="A27" s="6" t="s">
        <v>12</v>
      </c>
      <c r="B27" s="7">
        <v>153</v>
      </c>
    </row>
    <row r="28" spans="1:2" x14ac:dyDescent="0.3">
      <c r="A28" s="6" t="s">
        <v>13</v>
      </c>
      <c r="B28" s="7">
        <v>173</v>
      </c>
    </row>
    <row r="29" spans="1:2" x14ac:dyDescent="0.3">
      <c r="A29" s="6" t="s">
        <v>24</v>
      </c>
      <c r="B29" s="7">
        <v>908</v>
      </c>
    </row>
    <row r="33" spans="1:2" x14ac:dyDescent="0.3">
      <c r="A33" t="s">
        <v>28</v>
      </c>
    </row>
    <row r="34" spans="1:2" x14ac:dyDescent="0.3">
      <c r="A34" s="7">
        <v>2563800</v>
      </c>
      <c r="B34" s="8">
        <f>GETPIVOTDATA("Total",$A$33)</f>
        <v>2563800</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733B-3B74-4B82-A8C6-519B29298F77}">
  <dimension ref="A1"/>
  <sheetViews>
    <sheetView showGridLines="0" tabSelected="1" workbookViewId="0">
      <selection activeCell="Y13" sqref="Y13:AA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FB88F-9D52-4E72-97BF-44382C68A3AC}">
  <dimension ref="A1:H145"/>
  <sheetViews>
    <sheetView topLeftCell="A133" workbookViewId="0">
      <selection activeCell="B10" sqref="B10"/>
    </sheetView>
  </sheetViews>
  <sheetFormatPr defaultRowHeight="14.4" x14ac:dyDescent="0.3"/>
  <cols>
    <col min="2" max="2" width="19.109375" customWidth="1"/>
    <col min="4" max="4" width="12.21875" customWidth="1"/>
  </cols>
  <sheetData>
    <row r="1" spans="1:8" ht="15.6" x14ac:dyDescent="0.3">
      <c r="A1" s="1" t="s">
        <v>0</v>
      </c>
      <c r="B1" s="2" t="s">
        <v>1</v>
      </c>
      <c r="C1" s="2" t="s">
        <v>2</v>
      </c>
      <c r="D1" s="3" t="s">
        <v>3</v>
      </c>
      <c r="E1" s="2" t="s">
        <v>4</v>
      </c>
      <c r="F1" s="2" t="s">
        <v>5</v>
      </c>
      <c r="G1" s="2" t="s">
        <v>6</v>
      </c>
      <c r="H1" s="2" t="s">
        <v>7</v>
      </c>
    </row>
    <row r="2" spans="1:8" x14ac:dyDescent="0.3">
      <c r="A2" s="1">
        <v>1</v>
      </c>
      <c r="B2" t="s">
        <v>8</v>
      </c>
      <c r="C2" t="s">
        <v>9</v>
      </c>
      <c r="D2" s="4">
        <v>45658</v>
      </c>
      <c r="E2" t="s">
        <v>10</v>
      </c>
      <c r="F2">
        <v>4</v>
      </c>
      <c r="G2">
        <v>150</v>
      </c>
      <c r="H2">
        <v>600</v>
      </c>
    </row>
    <row r="3" spans="1:8" x14ac:dyDescent="0.3">
      <c r="A3" s="1">
        <v>2</v>
      </c>
      <c r="B3" t="s">
        <v>8</v>
      </c>
      <c r="C3" t="s">
        <v>9</v>
      </c>
      <c r="D3" s="4">
        <v>45658</v>
      </c>
      <c r="E3" t="s">
        <v>11</v>
      </c>
      <c r="F3">
        <v>9</v>
      </c>
      <c r="G3">
        <v>350</v>
      </c>
      <c r="H3">
        <v>3150</v>
      </c>
    </row>
    <row r="4" spans="1:8" x14ac:dyDescent="0.3">
      <c r="A4" s="1">
        <v>3</v>
      </c>
      <c r="B4" t="s">
        <v>8</v>
      </c>
      <c r="C4" t="s">
        <v>9</v>
      </c>
      <c r="D4" s="4">
        <v>45658</v>
      </c>
      <c r="E4" t="s">
        <v>12</v>
      </c>
      <c r="F4">
        <v>4</v>
      </c>
      <c r="G4">
        <v>1800</v>
      </c>
      <c r="H4">
        <v>7200</v>
      </c>
    </row>
    <row r="5" spans="1:8" x14ac:dyDescent="0.3">
      <c r="A5" s="1">
        <v>4</v>
      </c>
      <c r="B5" t="s">
        <v>8</v>
      </c>
      <c r="C5" t="s">
        <v>9</v>
      </c>
      <c r="D5" s="4">
        <v>45658</v>
      </c>
      <c r="E5" t="s">
        <v>13</v>
      </c>
      <c r="F5">
        <v>16</v>
      </c>
      <c r="G5">
        <v>2300</v>
      </c>
      <c r="H5">
        <v>36800</v>
      </c>
    </row>
    <row r="6" spans="1:8" x14ac:dyDescent="0.3">
      <c r="A6" s="1">
        <v>5</v>
      </c>
      <c r="B6" t="s">
        <v>8</v>
      </c>
      <c r="C6" t="s">
        <v>9</v>
      </c>
      <c r="D6" s="4">
        <v>45658</v>
      </c>
      <c r="E6" t="s">
        <v>14</v>
      </c>
      <c r="F6">
        <v>13</v>
      </c>
      <c r="G6">
        <v>4000</v>
      </c>
      <c r="H6">
        <v>52000</v>
      </c>
    </row>
    <row r="7" spans="1:8" x14ac:dyDescent="0.3">
      <c r="A7" s="1">
        <v>6</v>
      </c>
      <c r="B7" t="s">
        <v>8</v>
      </c>
      <c r="C7" t="s">
        <v>9</v>
      </c>
      <c r="D7" s="4">
        <v>45658</v>
      </c>
      <c r="E7" t="s">
        <v>15</v>
      </c>
      <c r="F7">
        <v>9</v>
      </c>
      <c r="G7">
        <v>8000</v>
      </c>
      <c r="H7">
        <v>72000</v>
      </c>
    </row>
    <row r="8" spans="1:8" x14ac:dyDescent="0.3">
      <c r="A8" s="1">
        <v>7</v>
      </c>
      <c r="B8" t="s">
        <v>16</v>
      </c>
      <c r="C8" t="s">
        <v>17</v>
      </c>
      <c r="D8" s="4">
        <v>45689</v>
      </c>
      <c r="E8" t="s">
        <v>10</v>
      </c>
      <c r="F8">
        <v>14</v>
      </c>
      <c r="G8">
        <v>150</v>
      </c>
      <c r="H8">
        <v>2100</v>
      </c>
    </row>
    <row r="9" spans="1:8" x14ac:dyDescent="0.3">
      <c r="A9" s="1">
        <v>8</v>
      </c>
      <c r="B9" t="s">
        <v>18</v>
      </c>
      <c r="C9" t="s">
        <v>17</v>
      </c>
      <c r="D9" s="4">
        <v>45689</v>
      </c>
      <c r="E9" t="s">
        <v>10</v>
      </c>
      <c r="F9">
        <v>13</v>
      </c>
      <c r="G9">
        <v>150</v>
      </c>
      <c r="H9">
        <v>1950</v>
      </c>
    </row>
    <row r="10" spans="1:8" x14ac:dyDescent="0.3">
      <c r="A10" s="1">
        <v>9</v>
      </c>
      <c r="B10" t="s">
        <v>16</v>
      </c>
      <c r="C10" t="s">
        <v>17</v>
      </c>
      <c r="D10" s="4">
        <v>45689</v>
      </c>
      <c r="E10" t="s">
        <v>11</v>
      </c>
      <c r="F10">
        <v>14</v>
      </c>
      <c r="G10">
        <v>350</v>
      </c>
      <c r="H10">
        <v>4900</v>
      </c>
    </row>
    <row r="11" spans="1:8" x14ac:dyDescent="0.3">
      <c r="A11" s="1">
        <v>10</v>
      </c>
      <c r="B11" t="s">
        <v>18</v>
      </c>
      <c r="C11" t="s">
        <v>17</v>
      </c>
      <c r="D11" s="4">
        <v>45689</v>
      </c>
      <c r="E11" t="s">
        <v>11</v>
      </c>
      <c r="F11">
        <v>11</v>
      </c>
      <c r="G11">
        <v>350</v>
      </c>
      <c r="H11">
        <v>3850</v>
      </c>
    </row>
    <row r="12" spans="1:8" x14ac:dyDescent="0.3">
      <c r="A12" s="1">
        <v>11</v>
      </c>
      <c r="B12" t="s">
        <v>16</v>
      </c>
      <c r="C12" t="s">
        <v>17</v>
      </c>
      <c r="D12" s="4">
        <v>45689</v>
      </c>
      <c r="E12" t="s">
        <v>12</v>
      </c>
      <c r="F12">
        <v>15</v>
      </c>
      <c r="G12">
        <v>1800</v>
      </c>
      <c r="H12">
        <v>27000</v>
      </c>
    </row>
    <row r="13" spans="1:8" x14ac:dyDescent="0.3">
      <c r="A13" s="1">
        <v>12</v>
      </c>
      <c r="B13" t="s">
        <v>18</v>
      </c>
      <c r="C13" t="s">
        <v>17</v>
      </c>
      <c r="D13" s="4">
        <v>45689</v>
      </c>
      <c r="E13" t="s">
        <v>12</v>
      </c>
      <c r="F13">
        <v>7</v>
      </c>
      <c r="G13">
        <v>1800</v>
      </c>
      <c r="H13">
        <v>12600</v>
      </c>
    </row>
    <row r="14" spans="1:8" x14ac:dyDescent="0.3">
      <c r="A14" s="1">
        <v>13</v>
      </c>
      <c r="B14" t="s">
        <v>16</v>
      </c>
      <c r="C14" t="s">
        <v>17</v>
      </c>
      <c r="D14" s="4">
        <v>45689</v>
      </c>
      <c r="E14" t="s">
        <v>13</v>
      </c>
      <c r="F14">
        <v>7</v>
      </c>
      <c r="G14">
        <v>2300</v>
      </c>
      <c r="H14">
        <v>16100</v>
      </c>
    </row>
    <row r="15" spans="1:8" x14ac:dyDescent="0.3">
      <c r="A15" s="1">
        <v>14</v>
      </c>
      <c r="B15" t="s">
        <v>18</v>
      </c>
      <c r="C15" t="s">
        <v>17</v>
      </c>
      <c r="D15" s="4">
        <v>45689</v>
      </c>
      <c r="E15" t="s">
        <v>13</v>
      </c>
      <c r="F15">
        <v>13</v>
      </c>
      <c r="G15">
        <v>2300</v>
      </c>
      <c r="H15">
        <v>29900</v>
      </c>
    </row>
    <row r="16" spans="1:8" x14ac:dyDescent="0.3">
      <c r="A16" s="1">
        <v>15</v>
      </c>
      <c r="B16" t="s">
        <v>16</v>
      </c>
      <c r="C16" t="s">
        <v>17</v>
      </c>
      <c r="D16" s="4">
        <v>45689</v>
      </c>
      <c r="E16" t="s">
        <v>14</v>
      </c>
      <c r="F16">
        <v>10</v>
      </c>
      <c r="G16">
        <v>4000</v>
      </c>
      <c r="H16">
        <v>40000</v>
      </c>
    </row>
    <row r="17" spans="1:8" x14ac:dyDescent="0.3">
      <c r="A17" s="1">
        <v>16</v>
      </c>
      <c r="B17" t="s">
        <v>18</v>
      </c>
      <c r="C17" t="s">
        <v>17</v>
      </c>
      <c r="D17" s="4">
        <v>45689</v>
      </c>
      <c r="E17" t="s">
        <v>14</v>
      </c>
      <c r="F17">
        <v>4</v>
      </c>
      <c r="G17">
        <v>4000</v>
      </c>
      <c r="H17">
        <v>16000</v>
      </c>
    </row>
    <row r="18" spans="1:8" x14ac:dyDescent="0.3">
      <c r="A18" s="1">
        <v>17</v>
      </c>
      <c r="B18" t="s">
        <v>18</v>
      </c>
      <c r="C18" t="s">
        <v>17</v>
      </c>
      <c r="D18" s="4">
        <v>45689</v>
      </c>
      <c r="E18" t="s">
        <v>15</v>
      </c>
      <c r="F18">
        <v>13</v>
      </c>
      <c r="G18">
        <v>8000</v>
      </c>
      <c r="H18">
        <v>104000</v>
      </c>
    </row>
    <row r="19" spans="1:8" x14ac:dyDescent="0.3">
      <c r="A19" s="1">
        <v>18</v>
      </c>
      <c r="B19" t="s">
        <v>16</v>
      </c>
      <c r="C19" t="s">
        <v>17</v>
      </c>
      <c r="D19" s="4">
        <v>45689</v>
      </c>
      <c r="E19" t="s">
        <v>15</v>
      </c>
      <c r="F19">
        <v>12</v>
      </c>
      <c r="G19">
        <v>8000</v>
      </c>
      <c r="H19">
        <v>96000</v>
      </c>
    </row>
    <row r="20" spans="1:8" x14ac:dyDescent="0.3">
      <c r="A20" s="1">
        <v>19</v>
      </c>
      <c r="B20" t="s">
        <v>19</v>
      </c>
      <c r="C20" t="s">
        <v>20</v>
      </c>
      <c r="D20" s="4">
        <v>45717</v>
      </c>
      <c r="E20" t="s">
        <v>10</v>
      </c>
      <c r="F20">
        <v>4</v>
      </c>
      <c r="G20">
        <v>150</v>
      </c>
      <c r="H20">
        <v>600</v>
      </c>
    </row>
    <row r="21" spans="1:8" x14ac:dyDescent="0.3">
      <c r="A21" s="1">
        <v>20</v>
      </c>
      <c r="B21" t="s">
        <v>19</v>
      </c>
      <c r="C21" t="s">
        <v>20</v>
      </c>
      <c r="D21" s="4">
        <v>45717</v>
      </c>
      <c r="E21" t="s">
        <v>11</v>
      </c>
      <c r="F21">
        <v>12</v>
      </c>
      <c r="G21">
        <v>350</v>
      </c>
      <c r="H21">
        <v>4200</v>
      </c>
    </row>
    <row r="22" spans="1:8" x14ac:dyDescent="0.3">
      <c r="A22" s="1">
        <v>21</v>
      </c>
      <c r="B22" t="s">
        <v>19</v>
      </c>
      <c r="C22" t="s">
        <v>20</v>
      </c>
      <c r="D22" s="4">
        <v>45717</v>
      </c>
      <c r="E22" t="s">
        <v>12</v>
      </c>
      <c r="F22">
        <v>5</v>
      </c>
      <c r="G22">
        <v>1800</v>
      </c>
      <c r="H22">
        <v>9000</v>
      </c>
    </row>
    <row r="23" spans="1:8" x14ac:dyDescent="0.3">
      <c r="A23" s="1">
        <v>22</v>
      </c>
      <c r="B23" t="s">
        <v>19</v>
      </c>
      <c r="C23" t="s">
        <v>20</v>
      </c>
      <c r="D23" s="4">
        <v>45717</v>
      </c>
      <c r="E23" t="s">
        <v>13</v>
      </c>
      <c r="F23">
        <v>10</v>
      </c>
      <c r="G23">
        <v>2300</v>
      </c>
      <c r="H23">
        <v>23000</v>
      </c>
    </row>
    <row r="24" spans="1:8" x14ac:dyDescent="0.3">
      <c r="A24" s="1">
        <v>23</v>
      </c>
      <c r="B24" t="s">
        <v>19</v>
      </c>
      <c r="C24" t="s">
        <v>20</v>
      </c>
      <c r="D24" s="4">
        <v>45717</v>
      </c>
      <c r="E24" t="s">
        <v>14</v>
      </c>
      <c r="F24">
        <v>10</v>
      </c>
      <c r="G24">
        <v>4000</v>
      </c>
      <c r="H24">
        <v>40000</v>
      </c>
    </row>
    <row r="25" spans="1:8" x14ac:dyDescent="0.3">
      <c r="A25" s="1">
        <v>24</v>
      </c>
      <c r="B25" t="s">
        <v>19</v>
      </c>
      <c r="C25" t="s">
        <v>20</v>
      </c>
      <c r="D25" s="4">
        <v>45717</v>
      </c>
      <c r="E25" t="s">
        <v>15</v>
      </c>
      <c r="F25">
        <v>10</v>
      </c>
      <c r="G25">
        <v>8000</v>
      </c>
      <c r="H25">
        <v>80000</v>
      </c>
    </row>
    <row r="26" spans="1:8" x14ac:dyDescent="0.3">
      <c r="A26" s="1">
        <v>25</v>
      </c>
      <c r="B26" t="s">
        <v>21</v>
      </c>
      <c r="C26" t="s">
        <v>9</v>
      </c>
      <c r="D26" s="4">
        <v>45748</v>
      </c>
      <c r="E26" t="s">
        <v>10</v>
      </c>
      <c r="F26">
        <v>11</v>
      </c>
      <c r="G26">
        <v>150</v>
      </c>
      <c r="H26">
        <v>1650</v>
      </c>
    </row>
    <row r="27" spans="1:8" x14ac:dyDescent="0.3">
      <c r="A27" s="1">
        <v>26</v>
      </c>
      <c r="B27" t="s">
        <v>21</v>
      </c>
      <c r="C27" t="s">
        <v>9</v>
      </c>
      <c r="D27" s="4">
        <v>45748</v>
      </c>
      <c r="E27" t="s">
        <v>11</v>
      </c>
      <c r="F27">
        <v>5</v>
      </c>
      <c r="G27">
        <v>350</v>
      </c>
      <c r="H27">
        <v>1750</v>
      </c>
    </row>
    <row r="28" spans="1:8" x14ac:dyDescent="0.3">
      <c r="A28" s="1">
        <v>27</v>
      </c>
      <c r="B28" t="s">
        <v>21</v>
      </c>
      <c r="C28" t="s">
        <v>9</v>
      </c>
      <c r="D28" s="4">
        <v>45748</v>
      </c>
      <c r="E28" t="s">
        <v>12</v>
      </c>
      <c r="F28">
        <v>14</v>
      </c>
      <c r="G28">
        <v>1800</v>
      </c>
      <c r="H28">
        <v>25200</v>
      </c>
    </row>
    <row r="29" spans="1:8" x14ac:dyDescent="0.3">
      <c r="A29" s="1">
        <v>28</v>
      </c>
      <c r="B29" t="s">
        <v>21</v>
      </c>
      <c r="C29" t="s">
        <v>9</v>
      </c>
      <c r="D29" s="4">
        <v>45748</v>
      </c>
      <c r="E29" t="s">
        <v>13</v>
      </c>
      <c r="F29">
        <v>6</v>
      </c>
      <c r="G29">
        <v>2300</v>
      </c>
      <c r="H29">
        <v>13800</v>
      </c>
    </row>
    <row r="30" spans="1:8" x14ac:dyDescent="0.3">
      <c r="A30" s="1">
        <v>29</v>
      </c>
      <c r="B30" t="s">
        <v>21</v>
      </c>
      <c r="C30" t="s">
        <v>9</v>
      </c>
      <c r="D30" s="4">
        <v>45748</v>
      </c>
      <c r="E30" t="s">
        <v>14</v>
      </c>
      <c r="F30">
        <v>14</v>
      </c>
      <c r="G30">
        <v>4000</v>
      </c>
      <c r="H30">
        <v>56000</v>
      </c>
    </row>
    <row r="31" spans="1:8" x14ac:dyDescent="0.3">
      <c r="A31" s="1">
        <v>30</v>
      </c>
      <c r="B31" t="s">
        <v>21</v>
      </c>
      <c r="C31" t="s">
        <v>9</v>
      </c>
      <c r="D31" s="4">
        <v>45748</v>
      </c>
      <c r="E31" t="s">
        <v>15</v>
      </c>
      <c r="F31">
        <v>14</v>
      </c>
      <c r="G31">
        <v>8000</v>
      </c>
      <c r="H31">
        <v>112000</v>
      </c>
    </row>
    <row r="32" spans="1:8" x14ac:dyDescent="0.3">
      <c r="A32" s="1">
        <v>31</v>
      </c>
      <c r="B32" t="s">
        <v>22</v>
      </c>
      <c r="C32" t="s">
        <v>20</v>
      </c>
      <c r="D32" s="4">
        <v>45778</v>
      </c>
      <c r="E32" t="s">
        <v>10</v>
      </c>
      <c r="F32">
        <v>9</v>
      </c>
      <c r="G32">
        <v>150</v>
      </c>
      <c r="H32">
        <v>1350</v>
      </c>
    </row>
    <row r="33" spans="1:8" x14ac:dyDescent="0.3">
      <c r="A33" s="1">
        <v>32</v>
      </c>
      <c r="B33" t="s">
        <v>22</v>
      </c>
      <c r="C33" t="s">
        <v>20</v>
      </c>
      <c r="D33" s="4">
        <v>45778</v>
      </c>
      <c r="E33" t="s">
        <v>11</v>
      </c>
      <c r="F33">
        <v>7</v>
      </c>
      <c r="G33">
        <v>350</v>
      </c>
      <c r="H33">
        <v>2450</v>
      </c>
    </row>
    <row r="34" spans="1:8" x14ac:dyDescent="0.3">
      <c r="A34" s="1">
        <v>33</v>
      </c>
      <c r="B34" t="s">
        <v>22</v>
      </c>
      <c r="C34" t="s">
        <v>20</v>
      </c>
      <c r="D34" s="4">
        <v>45778</v>
      </c>
      <c r="E34" t="s">
        <v>12</v>
      </c>
      <c r="F34">
        <v>7</v>
      </c>
      <c r="G34">
        <v>1800</v>
      </c>
      <c r="H34">
        <v>12600</v>
      </c>
    </row>
    <row r="35" spans="1:8" x14ac:dyDescent="0.3">
      <c r="A35" s="1">
        <v>34</v>
      </c>
      <c r="B35" t="s">
        <v>22</v>
      </c>
      <c r="C35" t="s">
        <v>20</v>
      </c>
      <c r="D35" s="4">
        <v>45778</v>
      </c>
      <c r="E35" t="s">
        <v>13</v>
      </c>
      <c r="F35">
        <v>16</v>
      </c>
      <c r="G35">
        <v>2300</v>
      </c>
      <c r="H35">
        <v>36800</v>
      </c>
    </row>
    <row r="36" spans="1:8" x14ac:dyDescent="0.3">
      <c r="A36" s="1">
        <v>35</v>
      </c>
      <c r="B36" t="s">
        <v>22</v>
      </c>
      <c r="C36" t="s">
        <v>20</v>
      </c>
      <c r="D36" s="4">
        <v>45778</v>
      </c>
      <c r="E36" t="s">
        <v>14</v>
      </c>
      <c r="F36">
        <v>5</v>
      </c>
      <c r="G36">
        <v>4000</v>
      </c>
      <c r="H36">
        <v>20000</v>
      </c>
    </row>
    <row r="37" spans="1:8" x14ac:dyDescent="0.3">
      <c r="A37" s="1">
        <v>36</v>
      </c>
      <c r="B37" t="s">
        <v>22</v>
      </c>
      <c r="C37" t="s">
        <v>20</v>
      </c>
      <c r="D37" s="4">
        <v>45778</v>
      </c>
      <c r="E37" t="s">
        <v>15</v>
      </c>
      <c r="F37">
        <v>6</v>
      </c>
      <c r="G37">
        <v>8000</v>
      </c>
      <c r="H37">
        <v>48000</v>
      </c>
    </row>
    <row r="38" spans="1:8" x14ac:dyDescent="0.3">
      <c r="A38" s="1">
        <v>37</v>
      </c>
      <c r="B38" t="s">
        <v>8</v>
      </c>
      <c r="C38" t="s">
        <v>9</v>
      </c>
      <c r="D38" s="4">
        <v>45659</v>
      </c>
      <c r="E38" t="s">
        <v>10</v>
      </c>
      <c r="F38">
        <v>12</v>
      </c>
      <c r="G38">
        <v>150</v>
      </c>
      <c r="H38">
        <v>1800</v>
      </c>
    </row>
    <row r="39" spans="1:8" x14ac:dyDescent="0.3">
      <c r="A39" s="1">
        <v>38</v>
      </c>
      <c r="B39" t="s">
        <v>8</v>
      </c>
      <c r="C39" t="s">
        <v>9</v>
      </c>
      <c r="D39" s="4">
        <v>45659</v>
      </c>
      <c r="E39" t="s">
        <v>11</v>
      </c>
      <c r="F39">
        <v>4</v>
      </c>
      <c r="G39">
        <v>350</v>
      </c>
      <c r="H39">
        <v>1400</v>
      </c>
    </row>
    <row r="40" spans="1:8" x14ac:dyDescent="0.3">
      <c r="A40" s="1">
        <v>39</v>
      </c>
      <c r="B40" t="s">
        <v>8</v>
      </c>
      <c r="C40" t="s">
        <v>9</v>
      </c>
      <c r="D40" s="4">
        <v>45659</v>
      </c>
      <c r="E40" t="s">
        <v>12</v>
      </c>
      <c r="F40">
        <v>10</v>
      </c>
      <c r="G40">
        <v>1800</v>
      </c>
      <c r="H40">
        <v>18000</v>
      </c>
    </row>
    <row r="41" spans="1:8" x14ac:dyDescent="0.3">
      <c r="A41" s="1">
        <v>40</v>
      </c>
      <c r="B41" t="s">
        <v>8</v>
      </c>
      <c r="C41" t="s">
        <v>9</v>
      </c>
      <c r="D41" s="4">
        <v>45659</v>
      </c>
      <c r="E41" t="s">
        <v>13</v>
      </c>
      <c r="F41">
        <v>11</v>
      </c>
      <c r="G41">
        <v>2300</v>
      </c>
      <c r="H41">
        <v>25300</v>
      </c>
    </row>
    <row r="42" spans="1:8" x14ac:dyDescent="0.3">
      <c r="A42" s="1">
        <v>41</v>
      </c>
      <c r="B42" t="s">
        <v>8</v>
      </c>
      <c r="C42" t="s">
        <v>9</v>
      </c>
      <c r="D42" s="4">
        <v>45659</v>
      </c>
      <c r="E42" t="s">
        <v>14</v>
      </c>
      <c r="F42">
        <v>12</v>
      </c>
      <c r="G42">
        <v>4000</v>
      </c>
      <c r="H42">
        <v>48000</v>
      </c>
    </row>
    <row r="43" spans="1:8" x14ac:dyDescent="0.3">
      <c r="A43" s="1">
        <v>42</v>
      </c>
      <c r="B43" t="s">
        <v>8</v>
      </c>
      <c r="C43" t="s">
        <v>9</v>
      </c>
      <c r="D43" s="4">
        <v>45659</v>
      </c>
      <c r="E43" t="s">
        <v>15</v>
      </c>
      <c r="F43">
        <v>11</v>
      </c>
      <c r="G43">
        <v>8000</v>
      </c>
      <c r="H43">
        <v>88000</v>
      </c>
    </row>
    <row r="44" spans="1:8" x14ac:dyDescent="0.3">
      <c r="A44" s="1">
        <v>43</v>
      </c>
      <c r="B44" t="s">
        <v>16</v>
      </c>
      <c r="C44" t="s">
        <v>17</v>
      </c>
      <c r="D44" s="4">
        <v>45690</v>
      </c>
      <c r="E44" t="s">
        <v>10</v>
      </c>
      <c r="F44">
        <v>8</v>
      </c>
      <c r="G44">
        <v>150</v>
      </c>
      <c r="H44">
        <v>1200</v>
      </c>
    </row>
    <row r="45" spans="1:8" x14ac:dyDescent="0.3">
      <c r="A45" s="1">
        <v>44</v>
      </c>
      <c r="B45" t="s">
        <v>18</v>
      </c>
      <c r="C45" t="s">
        <v>17</v>
      </c>
      <c r="D45" s="4">
        <v>45690</v>
      </c>
      <c r="E45" t="s">
        <v>10</v>
      </c>
      <c r="F45">
        <v>12</v>
      </c>
      <c r="G45">
        <v>150</v>
      </c>
      <c r="H45">
        <v>1800</v>
      </c>
    </row>
    <row r="46" spans="1:8" x14ac:dyDescent="0.3">
      <c r="A46" s="1">
        <v>45</v>
      </c>
      <c r="B46" t="s">
        <v>16</v>
      </c>
      <c r="C46" t="s">
        <v>17</v>
      </c>
      <c r="D46" s="4">
        <v>45690</v>
      </c>
      <c r="E46" t="s">
        <v>11</v>
      </c>
      <c r="F46">
        <v>4</v>
      </c>
      <c r="G46">
        <v>350</v>
      </c>
      <c r="H46">
        <v>1400</v>
      </c>
    </row>
    <row r="47" spans="1:8" x14ac:dyDescent="0.3">
      <c r="A47" s="1">
        <v>46</v>
      </c>
      <c r="B47" t="s">
        <v>18</v>
      </c>
      <c r="C47" t="s">
        <v>17</v>
      </c>
      <c r="D47" s="4">
        <v>45690</v>
      </c>
      <c r="E47" t="s">
        <v>11</v>
      </c>
      <c r="F47">
        <v>16</v>
      </c>
      <c r="G47">
        <v>350</v>
      </c>
      <c r="H47">
        <v>5600</v>
      </c>
    </row>
    <row r="48" spans="1:8" x14ac:dyDescent="0.3">
      <c r="A48" s="1">
        <v>47</v>
      </c>
      <c r="B48" t="s">
        <v>16</v>
      </c>
      <c r="C48" t="s">
        <v>17</v>
      </c>
      <c r="D48" s="4">
        <v>45690</v>
      </c>
      <c r="E48" t="s">
        <v>12</v>
      </c>
      <c r="F48">
        <v>8</v>
      </c>
      <c r="G48">
        <v>1800</v>
      </c>
      <c r="H48">
        <v>14400</v>
      </c>
    </row>
    <row r="49" spans="1:8" x14ac:dyDescent="0.3">
      <c r="A49" s="1">
        <v>48</v>
      </c>
      <c r="B49" t="s">
        <v>18</v>
      </c>
      <c r="C49" t="s">
        <v>17</v>
      </c>
      <c r="D49" s="4">
        <v>45690</v>
      </c>
      <c r="E49" t="s">
        <v>12</v>
      </c>
      <c r="F49">
        <v>4</v>
      </c>
      <c r="G49">
        <v>1800</v>
      </c>
      <c r="H49">
        <v>7200</v>
      </c>
    </row>
    <row r="50" spans="1:8" x14ac:dyDescent="0.3">
      <c r="A50" s="1">
        <v>49</v>
      </c>
      <c r="B50" t="s">
        <v>16</v>
      </c>
      <c r="C50" t="s">
        <v>17</v>
      </c>
      <c r="D50" s="4">
        <v>45690</v>
      </c>
      <c r="E50" t="s">
        <v>13</v>
      </c>
      <c r="F50">
        <v>6</v>
      </c>
      <c r="G50">
        <v>2300</v>
      </c>
      <c r="H50">
        <v>13800</v>
      </c>
    </row>
    <row r="51" spans="1:8" x14ac:dyDescent="0.3">
      <c r="A51" s="1">
        <v>50</v>
      </c>
      <c r="B51" t="s">
        <v>18</v>
      </c>
      <c r="C51" t="s">
        <v>17</v>
      </c>
      <c r="D51" s="4">
        <v>45690</v>
      </c>
      <c r="E51" t="s">
        <v>13</v>
      </c>
      <c r="F51">
        <v>10</v>
      </c>
      <c r="G51">
        <v>2300</v>
      </c>
      <c r="H51">
        <v>23000</v>
      </c>
    </row>
    <row r="52" spans="1:8" x14ac:dyDescent="0.3">
      <c r="A52" s="1">
        <v>51</v>
      </c>
      <c r="B52" t="s">
        <v>16</v>
      </c>
      <c r="C52" t="s">
        <v>17</v>
      </c>
      <c r="D52" s="4">
        <v>45690</v>
      </c>
      <c r="E52" t="s">
        <v>14</v>
      </c>
      <c r="F52">
        <v>13</v>
      </c>
      <c r="G52">
        <v>4000</v>
      </c>
      <c r="H52">
        <v>52000</v>
      </c>
    </row>
    <row r="53" spans="1:8" x14ac:dyDescent="0.3">
      <c r="A53" s="1">
        <v>52</v>
      </c>
      <c r="B53" t="s">
        <v>18</v>
      </c>
      <c r="C53" t="s">
        <v>17</v>
      </c>
      <c r="D53" s="4">
        <v>45690</v>
      </c>
      <c r="E53" t="s">
        <v>14</v>
      </c>
      <c r="F53">
        <v>4</v>
      </c>
      <c r="G53">
        <v>4000</v>
      </c>
      <c r="H53">
        <v>16000</v>
      </c>
    </row>
    <row r="54" spans="1:8" x14ac:dyDescent="0.3">
      <c r="A54" s="1">
        <v>53</v>
      </c>
      <c r="B54" t="s">
        <v>18</v>
      </c>
      <c r="C54" t="s">
        <v>17</v>
      </c>
      <c r="D54" s="4">
        <v>45690</v>
      </c>
      <c r="E54" t="s">
        <v>15</v>
      </c>
      <c r="F54">
        <v>5</v>
      </c>
      <c r="G54">
        <v>8000</v>
      </c>
      <c r="H54">
        <v>40000</v>
      </c>
    </row>
    <row r="55" spans="1:8" x14ac:dyDescent="0.3">
      <c r="A55" s="1">
        <v>54</v>
      </c>
      <c r="B55" t="s">
        <v>16</v>
      </c>
      <c r="C55" t="s">
        <v>17</v>
      </c>
      <c r="D55" s="4">
        <v>45690</v>
      </c>
      <c r="E55" t="s">
        <v>15</v>
      </c>
      <c r="F55">
        <v>6</v>
      </c>
      <c r="G55">
        <v>8000</v>
      </c>
      <c r="H55">
        <v>48000</v>
      </c>
    </row>
    <row r="56" spans="1:8" x14ac:dyDescent="0.3">
      <c r="A56" s="1">
        <v>55</v>
      </c>
      <c r="B56" t="s">
        <v>19</v>
      </c>
      <c r="C56" t="s">
        <v>20</v>
      </c>
      <c r="D56" s="4">
        <v>45718</v>
      </c>
      <c r="E56" t="s">
        <v>10</v>
      </c>
      <c r="F56">
        <v>11</v>
      </c>
      <c r="G56">
        <v>150</v>
      </c>
      <c r="H56">
        <v>1650</v>
      </c>
    </row>
    <row r="57" spans="1:8" x14ac:dyDescent="0.3">
      <c r="A57" s="1">
        <v>56</v>
      </c>
      <c r="B57" t="s">
        <v>19</v>
      </c>
      <c r="C57" t="s">
        <v>20</v>
      </c>
      <c r="D57" s="4">
        <v>45718</v>
      </c>
      <c r="E57" t="s">
        <v>11</v>
      </c>
      <c r="F57">
        <v>12</v>
      </c>
      <c r="G57">
        <v>350</v>
      </c>
      <c r="H57">
        <v>4200</v>
      </c>
    </row>
    <row r="58" spans="1:8" x14ac:dyDescent="0.3">
      <c r="A58" s="1">
        <v>57</v>
      </c>
      <c r="B58" t="s">
        <v>19</v>
      </c>
      <c r="C58" t="s">
        <v>20</v>
      </c>
      <c r="D58" s="4">
        <v>45718</v>
      </c>
      <c r="E58" t="s">
        <v>12</v>
      </c>
      <c r="F58">
        <v>15</v>
      </c>
      <c r="G58">
        <v>1800</v>
      </c>
      <c r="H58">
        <v>27000</v>
      </c>
    </row>
    <row r="59" spans="1:8" x14ac:dyDescent="0.3">
      <c r="A59" s="1">
        <v>58</v>
      </c>
      <c r="B59" t="s">
        <v>19</v>
      </c>
      <c r="C59" t="s">
        <v>20</v>
      </c>
      <c r="D59" s="4">
        <v>45718</v>
      </c>
      <c r="E59" t="s">
        <v>13</v>
      </c>
      <c r="F59">
        <v>5</v>
      </c>
      <c r="G59">
        <v>2300</v>
      </c>
      <c r="H59">
        <v>11500</v>
      </c>
    </row>
    <row r="60" spans="1:8" x14ac:dyDescent="0.3">
      <c r="A60" s="1">
        <v>59</v>
      </c>
      <c r="B60" t="s">
        <v>19</v>
      </c>
      <c r="C60" t="s">
        <v>20</v>
      </c>
      <c r="D60" s="4">
        <v>45718</v>
      </c>
      <c r="E60" t="s">
        <v>14</v>
      </c>
      <c r="F60">
        <v>5</v>
      </c>
      <c r="G60">
        <v>4000</v>
      </c>
      <c r="H60">
        <v>20000</v>
      </c>
    </row>
    <row r="61" spans="1:8" x14ac:dyDescent="0.3">
      <c r="A61" s="1">
        <v>60</v>
      </c>
      <c r="B61" t="s">
        <v>19</v>
      </c>
      <c r="C61" t="s">
        <v>20</v>
      </c>
      <c r="D61" s="4">
        <v>45718</v>
      </c>
      <c r="E61" t="s">
        <v>15</v>
      </c>
      <c r="F61">
        <v>5</v>
      </c>
      <c r="G61">
        <v>8000</v>
      </c>
      <c r="H61">
        <v>40000</v>
      </c>
    </row>
    <row r="62" spans="1:8" x14ac:dyDescent="0.3">
      <c r="A62" s="1">
        <v>61</v>
      </c>
      <c r="B62" t="s">
        <v>21</v>
      </c>
      <c r="C62" t="s">
        <v>9</v>
      </c>
      <c r="D62" s="4">
        <v>45749</v>
      </c>
      <c r="E62" t="s">
        <v>10</v>
      </c>
      <c r="F62">
        <v>5</v>
      </c>
      <c r="G62">
        <v>150</v>
      </c>
      <c r="H62">
        <v>750</v>
      </c>
    </row>
    <row r="63" spans="1:8" x14ac:dyDescent="0.3">
      <c r="A63" s="1">
        <v>62</v>
      </c>
      <c r="B63" t="s">
        <v>21</v>
      </c>
      <c r="C63" t="s">
        <v>9</v>
      </c>
      <c r="D63" s="4">
        <v>45749</v>
      </c>
      <c r="E63" t="s">
        <v>11</v>
      </c>
      <c r="F63">
        <v>14</v>
      </c>
      <c r="G63">
        <v>350</v>
      </c>
      <c r="H63">
        <v>4900</v>
      </c>
    </row>
    <row r="64" spans="1:8" x14ac:dyDescent="0.3">
      <c r="A64" s="1">
        <v>63</v>
      </c>
      <c r="B64" t="s">
        <v>21</v>
      </c>
      <c r="C64" t="s">
        <v>9</v>
      </c>
      <c r="D64" s="4">
        <v>45749</v>
      </c>
      <c r="E64" t="s">
        <v>12</v>
      </c>
      <c r="F64">
        <v>15</v>
      </c>
      <c r="G64">
        <v>1800</v>
      </c>
      <c r="H64">
        <v>27000</v>
      </c>
    </row>
    <row r="65" spans="1:8" x14ac:dyDescent="0.3">
      <c r="A65" s="1">
        <v>64</v>
      </c>
      <c r="B65" t="s">
        <v>21</v>
      </c>
      <c r="C65" t="s">
        <v>9</v>
      </c>
      <c r="D65" s="4">
        <v>45749</v>
      </c>
      <c r="E65" t="s">
        <v>13</v>
      </c>
      <c r="F65">
        <v>4</v>
      </c>
      <c r="G65">
        <v>2300</v>
      </c>
      <c r="H65">
        <v>9200</v>
      </c>
    </row>
    <row r="66" spans="1:8" x14ac:dyDescent="0.3">
      <c r="A66" s="1">
        <v>65</v>
      </c>
      <c r="B66" t="s">
        <v>21</v>
      </c>
      <c r="C66" t="s">
        <v>9</v>
      </c>
      <c r="D66" s="4">
        <v>45749</v>
      </c>
      <c r="E66" t="s">
        <v>14</v>
      </c>
      <c r="F66">
        <v>7</v>
      </c>
      <c r="G66">
        <v>4000</v>
      </c>
      <c r="H66">
        <v>28000</v>
      </c>
    </row>
    <row r="67" spans="1:8" x14ac:dyDescent="0.3">
      <c r="A67" s="1">
        <v>66</v>
      </c>
      <c r="B67" t="s">
        <v>21</v>
      </c>
      <c r="C67" t="s">
        <v>9</v>
      </c>
      <c r="D67" s="4">
        <v>45749</v>
      </c>
      <c r="E67" t="s">
        <v>15</v>
      </c>
      <c r="F67">
        <v>16</v>
      </c>
      <c r="G67">
        <v>8000</v>
      </c>
      <c r="H67">
        <v>128000</v>
      </c>
    </row>
    <row r="68" spans="1:8" x14ac:dyDescent="0.3">
      <c r="A68" s="1">
        <v>67</v>
      </c>
      <c r="B68" t="s">
        <v>22</v>
      </c>
      <c r="C68" t="s">
        <v>20</v>
      </c>
      <c r="D68" s="4">
        <v>45779</v>
      </c>
      <c r="E68" t="s">
        <v>10</v>
      </c>
      <c r="F68">
        <v>10</v>
      </c>
      <c r="G68">
        <v>150</v>
      </c>
      <c r="H68">
        <v>1500</v>
      </c>
    </row>
    <row r="69" spans="1:8" x14ac:dyDescent="0.3">
      <c r="A69" s="1">
        <v>68</v>
      </c>
      <c r="B69" t="s">
        <v>22</v>
      </c>
      <c r="C69" t="s">
        <v>20</v>
      </c>
      <c r="D69" s="4">
        <v>45779</v>
      </c>
      <c r="E69" t="s">
        <v>11</v>
      </c>
      <c r="F69">
        <v>10</v>
      </c>
      <c r="G69">
        <v>350</v>
      </c>
      <c r="H69">
        <v>3500</v>
      </c>
    </row>
    <row r="70" spans="1:8" x14ac:dyDescent="0.3">
      <c r="A70" s="1">
        <v>69</v>
      </c>
      <c r="B70" t="s">
        <v>22</v>
      </c>
      <c r="C70" t="s">
        <v>20</v>
      </c>
      <c r="D70" s="4">
        <v>45779</v>
      </c>
      <c r="E70" t="s">
        <v>12</v>
      </c>
      <c r="F70">
        <v>12</v>
      </c>
      <c r="G70">
        <v>1800</v>
      </c>
      <c r="H70">
        <v>21600</v>
      </c>
    </row>
    <row r="71" spans="1:8" x14ac:dyDescent="0.3">
      <c r="A71" s="1">
        <v>70</v>
      </c>
      <c r="B71" t="s">
        <v>22</v>
      </c>
      <c r="C71" t="s">
        <v>20</v>
      </c>
      <c r="D71" s="4">
        <v>45779</v>
      </c>
      <c r="E71" t="s">
        <v>13</v>
      </c>
      <c r="F71">
        <v>8</v>
      </c>
      <c r="G71">
        <v>2300</v>
      </c>
      <c r="H71">
        <v>18400</v>
      </c>
    </row>
    <row r="72" spans="1:8" x14ac:dyDescent="0.3">
      <c r="A72" s="1">
        <v>71</v>
      </c>
      <c r="B72" t="s">
        <v>22</v>
      </c>
      <c r="C72" t="s">
        <v>20</v>
      </c>
      <c r="D72" s="4">
        <v>45779</v>
      </c>
      <c r="E72" t="s">
        <v>14</v>
      </c>
      <c r="F72">
        <v>11</v>
      </c>
      <c r="G72">
        <v>4000</v>
      </c>
      <c r="H72">
        <v>44000</v>
      </c>
    </row>
    <row r="73" spans="1:8" x14ac:dyDescent="0.3">
      <c r="A73" s="1">
        <v>72</v>
      </c>
      <c r="B73" t="s">
        <v>22</v>
      </c>
      <c r="C73" t="s">
        <v>20</v>
      </c>
      <c r="D73" s="4">
        <v>45779</v>
      </c>
      <c r="E73" t="s">
        <v>15</v>
      </c>
      <c r="F73">
        <v>16</v>
      </c>
      <c r="G73">
        <v>8000</v>
      </c>
      <c r="H73">
        <v>128000</v>
      </c>
    </row>
    <row r="74" spans="1:8" x14ac:dyDescent="0.3">
      <c r="A74" s="1">
        <v>73</v>
      </c>
      <c r="B74" t="s">
        <v>8</v>
      </c>
      <c r="C74" t="s">
        <v>9</v>
      </c>
      <c r="D74" s="4">
        <v>45660</v>
      </c>
      <c r="E74" t="s">
        <v>10</v>
      </c>
      <c r="F74">
        <v>5</v>
      </c>
      <c r="G74">
        <v>150</v>
      </c>
      <c r="H74">
        <v>750</v>
      </c>
    </row>
    <row r="75" spans="1:8" x14ac:dyDescent="0.3">
      <c r="A75" s="1">
        <v>74</v>
      </c>
      <c r="B75" t="s">
        <v>8</v>
      </c>
      <c r="C75" t="s">
        <v>9</v>
      </c>
      <c r="D75" s="4">
        <v>45660</v>
      </c>
      <c r="E75" t="s">
        <v>11</v>
      </c>
      <c r="F75">
        <v>12</v>
      </c>
      <c r="G75">
        <v>350</v>
      </c>
      <c r="H75">
        <v>4200</v>
      </c>
    </row>
    <row r="76" spans="1:8" x14ac:dyDescent="0.3">
      <c r="A76" s="1">
        <v>75</v>
      </c>
      <c r="B76" t="s">
        <v>8</v>
      </c>
      <c r="C76" t="s">
        <v>9</v>
      </c>
      <c r="D76" s="4">
        <v>45660</v>
      </c>
      <c r="E76" t="s">
        <v>12</v>
      </c>
      <c r="F76">
        <v>14</v>
      </c>
      <c r="G76">
        <v>1800</v>
      </c>
      <c r="H76">
        <v>25200</v>
      </c>
    </row>
    <row r="77" spans="1:8" x14ac:dyDescent="0.3">
      <c r="A77" s="1">
        <v>76</v>
      </c>
      <c r="B77" t="s">
        <v>8</v>
      </c>
      <c r="C77" t="s">
        <v>9</v>
      </c>
      <c r="D77" s="4">
        <v>45660</v>
      </c>
      <c r="E77" t="s">
        <v>13</v>
      </c>
      <c r="F77">
        <v>8</v>
      </c>
      <c r="G77">
        <v>2300</v>
      </c>
      <c r="H77">
        <v>18400</v>
      </c>
    </row>
    <row r="78" spans="1:8" x14ac:dyDescent="0.3">
      <c r="A78" s="1">
        <v>77</v>
      </c>
      <c r="B78" t="s">
        <v>8</v>
      </c>
      <c r="C78" t="s">
        <v>9</v>
      </c>
      <c r="D78" s="4">
        <v>45660</v>
      </c>
      <c r="E78" t="s">
        <v>14</v>
      </c>
      <c r="F78">
        <v>16</v>
      </c>
      <c r="G78">
        <v>4000</v>
      </c>
      <c r="H78">
        <v>64000</v>
      </c>
    </row>
    <row r="79" spans="1:8" x14ac:dyDescent="0.3">
      <c r="A79" s="1">
        <v>78</v>
      </c>
      <c r="B79" t="s">
        <v>8</v>
      </c>
      <c r="C79" t="s">
        <v>9</v>
      </c>
      <c r="D79" s="4">
        <v>45660</v>
      </c>
      <c r="E79" t="s">
        <v>15</v>
      </c>
      <c r="F79">
        <v>15</v>
      </c>
      <c r="G79">
        <v>8000</v>
      </c>
      <c r="H79">
        <v>120000</v>
      </c>
    </row>
    <row r="80" spans="1:8" x14ac:dyDescent="0.3">
      <c r="A80" s="1">
        <v>79</v>
      </c>
      <c r="B80" t="s">
        <v>16</v>
      </c>
      <c r="C80" t="s">
        <v>17</v>
      </c>
      <c r="D80" s="4">
        <v>45691</v>
      </c>
      <c r="E80" t="s">
        <v>10</v>
      </c>
      <c r="F80">
        <v>4</v>
      </c>
      <c r="G80">
        <v>150</v>
      </c>
      <c r="H80">
        <v>600</v>
      </c>
    </row>
    <row r="81" spans="1:8" x14ac:dyDescent="0.3">
      <c r="A81" s="1">
        <v>80</v>
      </c>
      <c r="B81" t="s">
        <v>18</v>
      </c>
      <c r="C81" t="s">
        <v>17</v>
      </c>
      <c r="D81" s="4">
        <v>45691</v>
      </c>
      <c r="E81" t="s">
        <v>10</v>
      </c>
      <c r="F81">
        <v>4</v>
      </c>
      <c r="G81">
        <v>150</v>
      </c>
      <c r="H81">
        <v>600</v>
      </c>
    </row>
    <row r="82" spans="1:8" x14ac:dyDescent="0.3">
      <c r="A82" s="1">
        <v>81</v>
      </c>
      <c r="B82" t="s">
        <v>16</v>
      </c>
      <c r="C82" t="s">
        <v>17</v>
      </c>
      <c r="D82" s="4">
        <v>45691</v>
      </c>
      <c r="E82" t="s">
        <v>11</v>
      </c>
      <c r="F82">
        <v>12</v>
      </c>
      <c r="G82">
        <v>350</v>
      </c>
      <c r="H82">
        <v>4200</v>
      </c>
    </row>
    <row r="83" spans="1:8" x14ac:dyDescent="0.3">
      <c r="A83" s="1">
        <v>82</v>
      </c>
      <c r="B83" t="s">
        <v>18</v>
      </c>
      <c r="C83" t="s">
        <v>17</v>
      </c>
      <c r="D83" s="4">
        <v>45691</v>
      </c>
      <c r="E83" t="s">
        <v>11</v>
      </c>
      <c r="F83">
        <v>4</v>
      </c>
      <c r="G83">
        <v>350</v>
      </c>
      <c r="H83">
        <v>1400</v>
      </c>
    </row>
    <row r="84" spans="1:8" x14ac:dyDescent="0.3">
      <c r="A84" s="1">
        <v>83</v>
      </c>
      <c r="B84" t="s">
        <v>16</v>
      </c>
      <c r="C84" t="s">
        <v>17</v>
      </c>
      <c r="D84" s="4">
        <v>45691</v>
      </c>
      <c r="E84" t="s">
        <v>12</v>
      </c>
      <c r="F84">
        <v>5</v>
      </c>
      <c r="G84">
        <v>1800</v>
      </c>
      <c r="H84">
        <v>9000</v>
      </c>
    </row>
    <row r="85" spans="1:8" x14ac:dyDescent="0.3">
      <c r="A85" s="1">
        <v>84</v>
      </c>
      <c r="B85" t="s">
        <v>18</v>
      </c>
      <c r="C85" t="s">
        <v>17</v>
      </c>
      <c r="D85" s="4">
        <v>45691</v>
      </c>
      <c r="E85" t="s">
        <v>12</v>
      </c>
      <c r="F85">
        <v>5</v>
      </c>
      <c r="G85">
        <v>1800</v>
      </c>
      <c r="H85">
        <v>9000</v>
      </c>
    </row>
    <row r="86" spans="1:8" x14ac:dyDescent="0.3">
      <c r="A86" s="1">
        <v>85</v>
      </c>
      <c r="B86" t="s">
        <v>16</v>
      </c>
      <c r="C86" t="s">
        <v>17</v>
      </c>
      <c r="D86" s="4">
        <v>45691</v>
      </c>
      <c r="E86" t="s">
        <v>13</v>
      </c>
      <c r="F86">
        <v>15</v>
      </c>
      <c r="G86">
        <v>2300</v>
      </c>
      <c r="H86">
        <v>34500</v>
      </c>
    </row>
    <row r="87" spans="1:8" x14ac:dyDescent="0.3">
      <c r="A87" s="1">
        <v>86</v>
      </c>
      <c r="B87" t="s">
        <v>18</v>
      </c>
      <c r="C87" t="s">
        <v>17</v>
      </c>
      <c r="D87" s="4">
        <v>45691</v>
      </c>
      <c r="E87" t="s">
        <v>13</v>
      </c>
      <c r="F87">
        <v>11</v>
      </c>
      <c r="G87">
        <v>2300</v>
      </c>
      <c r="H87">
        <v>25300</v>
      </c>
    </row>
    <row r="88" spans="1:8" x14ac:dyDescent="0.3">
      <c r="A88" s="1">
        <v>87</v>
      </c>
      <c r="B88" t="s">
        <v>16</v>
      </c>
      <c r="C88" t="s">
        <v>17</v>
      </c>
      <c r="D88" s="4">
        <v>45691</v>
      </c>
      <c r="E88" t="s">
        <v>14</v>
      </c>
      <c r="F88">
        <v>8</v>
      </c>
      <c r="G88">
        <v>4000</v>
      </c>
      <c r="H88">
        <v>32000</v>
      </c>
    </row>
    <row r="89" spans="1:8" x14ac:dyDescent="0.3">
      <c r="A89" s="1">
        <v>88</v>
      </c>
      <c r="B89" t="s">
        <v>18</v>
      </c>
      <c r="C89" t="s">
        <v>17</v>
      </c>
      <c r="D89" s="4">
        <v>45691</v>
      </c>
      <c r="E89" t="s">
        <v>14</v>
      </c>
      <c r="F89">
        <v>15</v>
      </c>
      <c r="G89">
        <v>4000</v>
      </c>
      <c r="H89">
        <v>60000</v>
      </c>
    </row>
    <row r="90" spans="1:8" x14ac:dyDescent="0.3">
      <c r="A90" s="1">
        <v>89</v>
      </c>
      <c r="B90" t="s">
        <v>18</v>
      </c>
      <c r="C90" t="s">
        <v>17</v>
      </c>
      <c r="D90" s="4">
        <v>45691</v>
      </c>
      <c r="E90" t="s">
        <v>15</v>
      </c>
      <c r="F90">
        <v>6</v>
      </c>
      <c r="G90">
        <v>8000</v>
      </c>
      <c r="H90">
        <v>48000</v>
      </c>
    </row>
    <row r="91" spans="1:8" x14ac:dyDescent="0.3">
      <c r="A91" s="1">
        <v>90</v>
      </c>
      <c r="B91" t="s">
        <v>16</v>
      </c>
      <c r="C91" t="s">
        <v>17</v>
      </c>
      <c r="D91" s="4">
        <v>45691</v>
      </c>
      <c r="E91" t="s">
        <v>15</v>
      </c>
      <c r="F91">
        <v>8</v>
      </c>
      <c r="G91">
        <v>8000</v>
      </c>
      <c r="H91">
        <v>64000</v>
      </c>
    </row>
    <row r="92" spans="1:8" x14ac:dyDescent="0.3">
      <c r="A92" s="1">
        <v>91</v>
      </c>
      <c r="B92" t="s">
        <v>19</v>
      </c>
      <c r="C92" t="s">
        <v>20</v>
      </c>
      <c r="D92" s="4">
        <v>45719</v>
      </c>
      <c r="E92" t="s">
        <v>10</v>
      </c>
      <c r="F92">
        <v>5</v>
      </c>
      <c r="G92">
        <v>150</v>
      </c>
      <c r="H92">
        <v>750</v>
      </c>
    </row>
    <row r="93" spans="1:8" x14ac:dyDescent="0.3">
      <c r="A93" s="1">
        <v>92</v>
      </c>
      <c r="B93" t="s">
        <v>19</v>
      </c>
      <c r="C93" t="s">
        <v>20</v>
      </c>
      <c r="D93" s="4">
        <v>45719</v>
      </c>
      <c r="E93" t="s">
        <v>11</v>
      </c>
      <c r="F93">
        <v>6</v>
      </c>
      <c r="G93">
        <v>350</v>
      </c>
      <c r="H93">
        <v>2100</v>
      </c>
    </row>
    <row r="94" spans="1:8" x14ac:dyDescent="0.3">
      <c r="A94" s="1">
        <v>93</v>
      </c>
      <c r="B94" t="s">
        <v>19</v>
      </c>
      <c r="C94" t="s">
        <v>20</v>
      </c>
      <c r="D94" s="4">
        <v>45719</v>
      </c>
      <c r="E94" t="s">
        <v>12</v>
      </c>
      <c r="F94">
        <v>12</v>
      </c>
      <c r="G94">
        <v>1800</v>
      </c>
      <c r="H94">
        <v>21600</v>
      </c>
    </row>
    <row r="95" spans="1:8" x14ac:dyDescent="0.3">
      <c r="A95" s="1">
        <v>94</v>
      </c>
      <c r="B95" t="s">
        <v>19</v>
      </c>
      <c r="C95" t="s">
        <v>20</v>
      </c>
      <c r="D95" s="4">
        <v>45719</v>
      </c>
      <c r="E95" t="s">
        <v>13</v>
      </c>
      <c r="F95">
        <v>6</v>
      </c>
      <c r="G95">
        <v>2300</v>
      </c>
      <c r="H95">
        <v>13800</v>
      </c>
    </row>
    <row r="96" spans="1:8" x14ac:dyDescent="0.3">
      <c r="A96" s="1">
        <v>95</v>
      </c>
      <c r="B96" t="s">
        <v>19</v>
      </c>
      <c r="C96" t="s">
        <v>20</v>
      </c>
      <c r="D96" s="4">
        <v>45719</v>
      </c>
      <c r="E96" t="s">
        <v>14</v>
      </c>
      <c r="F96">
        <v>8</v>
      </c>
      <c r="G96">
        <v>4000</v>
      </c>
      <c r="H96">
        <v>32000</v>
      </c>
    </row>
    <row r="97" spans="1:8" x14ac:dyDescent="0.3">
      <c r="A97" s="1">
        <v>96</v>
      </c>
      <c r="B97" t="s">
        <v>19</v>
      </c>
      <c r="C97" t="s">
        <v>20</v>
      </c>
      <c r="D97" s="4">
        <v>45719</v>
      </c>
      <c r="E97" t="s">
        <v>15</v>
      </c>
      <c r="F97">
        <v>15</v>
      </c>
      <c r="G97">
        <v>8000</v>
      </c>
      <c r="H97">
        <v>120000</v>
      </c>
    </row>
    <row r="98" spans="1:8" x14ac:dyDescent="0.3">
      <c r="A98" s="1">
        <v>97</v>
      </c>
      <c r="B98" t="s">
        <v>21</v>
      </c>
      <c r="C98" t="s">
        <v>9</v>
      </c>
      <c r="D98" s="4">
        <v>45750</v>
      </c>
      <c r="E98" t="s">
        <v>10</v>
      </c>
      <c r="F98">
        <v>10</v>
      </c>
      <c r="G98">
        <v>150</v>
      </c>
      <c r="H98">
        <v>1500</v>
      </c>
    </row>
    <row r="99" spans="1:8" x14ac:dyDescent="0.3">
      <c r="A99" s="1">
        <v>98</v>
      </c>
      <c r="B99" t="s">
        <v>21</v>
      </c>
      <c r="C99" t="s">
        <v>9</v>
      </c>
      <c r="D99" s="4">
        <v>45750</v>
      </c>
      <c r="E99" t="s">
        <v>11</v>
      </c>
      <c r="F99">
        <v>9</v>
      </c>
      <c r="G99">
        <v>350</v>
      </c>
      <c r="H99">
        <v>3150</v>
      </c>
    </row>
    <row r="100" spans="1:8" x14ac:dyDescent="0.3">
      <c r="A100" s="1">
        <v>99</v>
      </c>
      <c r="B100" t="s">
        <v>21</v>
      </c>
      <c r="C100" t="s">
        <v>9</v>
      </c>
      <c r="D100" s="4">
        <v>45750</v>
      </c>
      <c r="E100" t="s">
        <v>12</v>
      </c>
      <c r="F100">
        <v>9</v>
      </c>
      <c r="G100">
        <v>1800</v>
      </c>
      <c r="H100">
        <v>16200</v>
      </c>
    </row>
    <row r="101" spans="1:8" x14ac:dyDescent="0.3">
      <c r="A101" s="1">
        <v>100</v>
      </c>
      <c r="B101" t="s">
        <v>21</v>
      </c>
      <c r="C101" t="s">
        <v>9</v>
      </c>
      <c r="D101" s="4">
        <v>45750</v>
      </c>
      <c r="E101" t="s">
        <v>13</v>
      </c>
      <c r="F101">
        <v>16</v>
      </c>
      <c r="G101">
        <v>2300</v>
      </c>
      <c r="H101">
        <v>36800</v>
      </c>
    </row>
    <row r="102" spans="1:8" x14ac:dyDescent="0.3">
      <c r="A102" s="1">
        <v>101</v>
      </c>
      <c r="B102" t="s">
        <v>21</v>
      </c>
      <c r="C102" t="s">
        <v>9</v>
      </c>
      <c r="D102" s="4">
        <v>45750</v>
      </c>
      <c r="E102" t="s">
        <v>14</v>
      </c>
      <c r="F102">
        <v>11</v>
      </c>
      <c r="G102">
        <v>4000</v>
      </c>
      <c r="H102">
        <v>44000</v>
      </c>
    </row>
    <row r="103" spans="1:8" x14ac:dyDescent="0.3">
      <c r="A103" s="1">
        <v>102</v>
      </c>
      <c r="B103" t="s">
        <v>21</v>
      </c>
      <c r="C103" t="s">
        <v>9</v>
      </c>
      <c r="D103" s="4">
        <v>45750</v>
      </c>
      <c r="E103" t="s">
        <v>15</v>
      </c>
      <c r="F103">
        <v>8</v>
      </c>
      <c r="G103">
        <v>8000</v>
      </c>
      <c r="H103">
        <v>64000</v>
      </c>
    </row>
    <row r="104" spans="1:8" x14ac:dyDescent="0.3">
      <c r="A104" s="1">
        <v>103</v>
      </c>
      <c r="B104" t="s">
        <v>22</v>
      </c>
      <c r="C104" t="s">
        <v>20</v>
      </c>
      <c r="D104" s="4">
        <v>45780</v>
      </c>
      <c r="E104" t="s">
        <v>10</v>
      </c>
      <c r="F104">
        <v>11</v>
      </c>
      <c r="G104">
        <v>150</v>
      </c>
      <c r="H104">
        <v>1650</v>
      </c>
    </row>
    <row r="105" spans="1:8" x14ac:dyDescent="0.3">
      <c r="A105" s="1">
        <v>104</v>
      </c>
      <c r="B105" t="s">
        <v>22</v>
      </c>
      <c r="C105" t="s">
        <v>20</v>
      </c>
      <c r="D105" s="4">
        <v>45780</v>
      </c>
      <c r="E105" t="s">
        <v>11</v>
      </c>
      <c r="F105">
        <v>4</v>
      </c>
      <c r="G105">
        <v>350</v>
      </c>
      <c r="H105">
        <v>1400</v>
      </c>
    </row>
    <row r="106" spans="1:8" x14ac:dyDescent="0.3">
      <c r="A106" s="1">
        <v>105</v>
      </c>
      <c r="B106" t="s">
        <v>22</v>
      </c>
      <c r="C106" t="s">
        <v>20</v>
      </c>
      <c r="D106" s="4">
        <v>45780</v>
      </c>
      <c r="E106" t="s">
        <v>12</v>
      </c>
      <c r="F106">
        <v>15</v>
      </c>
      <c r="G106">
        <v>1800</v>
      </c>
      <c r="H106">
        <v>27000</v>
      </c>
    </row>
    <row r="107" spans="1:8" x14ac:dyDescent="0.3">
      <c r="A107" s="1">
        <v>106</v>
      </c>
      <c r="B107" t="s">
        <v>22</v>
      </c>
      <c r="C107" t="s">
        <v>20</v>
      </c>
      <c r="D107" s="4">
        <v>45780</v>
      </c>
      <c r="E107" t="s">
        <v>13</v>
      </c>
      <c r="F107">
        <v>11</v>
      </c>
      <c r="G107">
        <v>2300</v>
      </c>
      <c r="H107">
        <v>25300</v>
      </c>
    </row>
    <row r="108" spans="1:8" x14ac:dyDescent="0.3">
      <c r="A108" s="1">
        <v>107</v>
      </c>
      <c r="B108" t="s">
        <v>22</v>
      </c>
      <c r="C108" t="s">
        <v>20</v>
      </c>
      <c r="D108" s="4">
        <v>45780</v>
      </c>
      <c r="E108" t="s">
        <v>14</v>
      </c>
      <c r="F108">
        <v>14</v>
      </c>
      <c r="G108">
        <v>4000</v>
      </c>
      <c r="H108">
        <v>56000</v>
      </c>
    </row>
    <row r="109" spans="1:8" x14ac:dyDescent="0.3">
      <c r="A109" s="1">
        <v>108</v>
      </c>
      <c r="B109" t="s">
        <v>22</v>
      </c>
      <c r="C109" t="s">
        <v>20</v>
      </c>
      <c r="D109" s="4">
        <v>45780</v>
      </c>
      <c r="E109" t="s">
        <v>15</v>
      </c>
      <c r="F109">
        <v>15</v>
      </c>
      <c r="G109">
        <v>8000</v>
      </c>
      <c r="H109">
        <v>120000</v>
      </c>
    </row>
    <row r="110" spans="1:8" x14ac:dyDescent="0.3">
      <c r="A110" s="1">
        <v>109</v>
      </c>
      <c r="B110" t="s">
        <v>8</v>
      </c>
      <c r="C110" t="s">
        <v>9</v>
      </c>
      <c r="D110" s="4">
        <v>45661</v>
      </c>
      <c r="E110" t="s">
        <v>10</v>
      </c>
      <c r="F110">
        <v>4</v>
      </c>
      <c r="G110">
        <v>150</v>
      </c>
      <c r="H110">
        <v>600</v>
      </c>
    </row>
    <row r="111" spans="1:8" x14ac:dyDescent="0.3">
      <c r="A111" s="1">
        <v>110</v>
      </c>
      <c r="B111" t="s">
        <v>8</v>
      </c>
      <c r="C111" t="s">
        <v>9</v>
      </c>
      <c r="D111" s="4">
        <v>45661</v>
      </c>
      <c r="E111" t="s">
        <v>11</v>
      </c>
      <c r="F111">
        <v>7</v>
      </c>
      <c r="G111">
        <v>350</v>
      </c>
      <c r="H111">
        <v>2450</v>
      </c>
    </row>
    <row r="112" spans="1:8" x14ac:dyDescent="0.3">
      <c r="A112" s="1">
        <v>111</v>
      </c>
      <c r="B112" t="s">
        <v>8</v>
      </c>
      <c r="C112" t="s">
        <v>9</v>
      </c>
      <c r="D112" s="4">
        <v>45661</v>
      </c>
      <c r="E112" t="s">
        <v>12</v>
      </c>
      <c r="F112">
        <v>12</v>
      </c>
      <c r="G112">
        <v>1800</v>
      </c>
      <c r="H112">
        <v>21600</v>
      </c>
    </row>
    <row r="113" spans="1:8" x14ac:dyDescent="0.3">
      <c r="A113" s="1">
        <v>112</v>
      </c>
      <c r="B113" t="s">
        <v>8</v>
      </c>
      <c r="C113" t="s">
        <v>9</v>
      </c>
      <c r="D113" s="4">
        <v>45661</v>
      </c>
      <c r="E113" t="s">
        <v>13</v>
      </c>
      <c r="F113">
        <v>15</v>
      </c>
      <c r="G113">
        <v>2300</v>
      </c>
      <c r="H113">
        <v>34500</v>
      </c>
    </row>
    <row r="114" spans="1:8" x14ac:dyDescent="0.3">
      <c r="A114" s="1">
        <v>113</v>
      </c>
      <c r="B114" t="s">
        <v>8</v>
      </c>
      <c r="C114" t="s">
        <v>9</v>
      </c>
      <c r="D114" s="4">
        <v>45661</v>
      </c>
      <c r="E114" t="s">
        <v>14</v>
      </c>
      <c r="F114">
        <v>12</v>
      </c>
      <c r="G114">
        <v>4000</v>
      </c>
      <c r="H114">
        <v>48000</v>
      </c>
    </row>
    <row r="115" spans="1:8" x14ac:dyDescent="0.3">
      <c r="A115" s="1">
        <v>114</v>
      </c>
      <c r="B115" t="s">
        <v>8</v>
      </c>
      <c r="C115" t="s">
        <v>9</v>
      </c>
      <c r="D115" s="4">
        <v>45661</v>
      </c>
      <c r="E115" t="s">
        <v>15</v>
      </c>
      <c r="F115">
        <v>10</v>
      </c>
      <c r="G115">
        <v>8000</v>
      </c>
      <c r="H115">
        <v>80000</v>
      </c>
    </row>
    <row r="116" spans="1:8" x14ac:dyDescent="0.3">
      <c r="A116" s="1">
        <v>115</v>
      </c>
      <c r="B116" t="s">
        <v>16</v>
      </c>
      <c r="C116" t="s">
        <v>17</v>
      </c>
      <c r="D116" s="4">
        <v>45692</v>
      </c>
      <c r="E116" t="s">
        <v>10</v>
      </c>
      <c r="F116">
        <v>14</v>
      </c>
      <c r="G116">
        <v>150</v>
      </c>
      <c r="H116">
        <v>2100</v>
      </c>
    </row>
    <row r="117" spans="1:8" x14ac:dyDescent="0.3">
      <c r="A117" s="1">
        <v>116</v>
      </c>
      <c r="B117" t="s">
        <v>18</v>
      </c>
      <c r="C117" t="s">
        <v>17</v>
      </c>
      <c r="D117" s="4">
        <v>45692</v>
      </c>
      <c r="E117" t="s">
        <v>10</v>
      </c>
      <c r="F117">
        <v>11</v>
      </c>
      <c r="G117">
        <v>150</v>
      </c>
      <c r="H117">
        <v>1650</v>
      </c>
    </row>
    <row r="118" spans="1:8" x14ac:dyDescent="0.3">
      <c r="A118" s="1">
        <v>117</v>
      </c>
      <c r="B118" t="s">
        <v>16</v>
      </c>
      <c r="C118" t="s">
        <v>17</v>
      </c>
      <c r="D118" s="4">
        <v>45692</v>
      </c>
      <c r="E118" t="s">
        <v>11</v>
      </c>
      <c r="F118">
        <v>9</v>
      </c>
      <c r="G118">
        <v>350</v>
      </c>
      <c r="H118">
        <v>3150</v>
      </c>
    </row>
    <row r="119" spans="1:8" x14ac:dyDescent="0.3">
      <c r="A119" s="1">
        <v>118</v>
      </c>
      <c r="B119" t="s">
        <v>18</v>
      </c>
      <c r="C119" t="s">
        <v>17</v>
      </c>
      <c r="D119" s="4">
        <v>45692</v>
      </c>
      <c r="E119" t="s">
        <v>11</v>
      </c>
      <c r="F119">
        <v>4</v>
      </c>
      <c r="G119">
        <v>350</v>
      </c>
      <c r="H119">
        <v>1400</v>
      </c>
    </row>
    <row r="120" spans="1:8" x14ac:dyDescent="0.3">
      <c r="A120" s="1">
        <v>119</v>
      </c>
      <c r="B120" t="s">
        <v>16</v>
      </c>
      <c r="C120" t="s">
        <v>17</v>
      </c>
      <c r="D120" s="4">
        <v>45692</v>
      </c>
      <c r="E120" t="s">
        <v>12</v>
      </c>
      <c r="F120">
        <v>15</v>
      </c>
      <c r="G120">
        <v>1800</v>
      </c>
      <c r="H120">
        <v>27000</v>
      </c>
    </row>
    <row r="121" spans="1:8" x14ac:dyDescent="0.3">
      <c r="A121" s="1">
        <v>120</v>
      </c>
      <c r="B121" t="s">
        <v>18</v>
      </c>
      <c r="C121" t="s">
        <v>17</v>
      </c>
      <c r="D121" s="4">
        <v>45692</v>
      </c>
      <c r="E121" t="s">
        <v>12</v>
      </c>
      <c r="F121">
        <v>16</v>
      </c>
      <c r="G121">
        <v>1800</v>
      </c>
      <c r="H121">
        <v>28800</v>
      </c>
    </row>
    <row r="122" spans="1:8" x14ac:dyDescent="0.3">
      <c r="A122" s="1">
        <v>121</v>
      </c>
      <c r="B122" t="s">
        <v>16</v>
      </c>
      <c r="C122" t="s">
        <v>17</v>
      </c>
      <c r="D122" s="4">
        <v>45692</v>
      </c>
      <c r="E122" t="s">
        <v>13</v>
      </c>
      <c r="F122">
        <v>14</v>
      </c>
      <c r="G122">
        <v>2300</v>
      </c>
      <c r="H122">
        <v>32200</v>
      </c>
    </row>
    <row r="123" spans="1:8" x14ac:dyDescent="0.3">
      <c r="A123" s="1">
        <v>122</v>
      </c>
      <c r="B123" t="s">
        <v>18</v>
      </c>
      <c r="C123" t="s">
        <v>17</v>
      </c>
      <c r="D123" s="4">
        <v>45692</v>
      </c>
      <c r="E123" t="s">
        <v>13</v>
      </c>
      <c r="F123">
        <v>14</v>
      </c>
      <c r="G123">
        <v>2300</v>
      </c>
      <c r="H123">
        <v>32200</v>
      </c>
    </row>
    <row r="124" spans="1:8" x14ac:dyDescent="0.3">
      <c r="A124" s="1">
        <v>123</v>
      </c>
      <c r="B124" t="s">
        <v>16</v>
      </c>
      <c r="C124" t="s">
        <v>17</v>
      </c>
      <c r="D124" s="4">
        <v>45692</v>
      </c>
      <c r="E124" t="s">
        <v>14</v>
      </c>
      <c r="F124">
        <v>9</v>
      </c>
      <c r="G124">
        <v>4000</v>
      </c>
      <c r="H124">
        <v>36000</v>
      </c>
    </row>
    <row r="125" spans="1:8" x14ac:dyDescent="0.3">
      <c r="A125" s="1">
        <v>124</v>
      </c>
      <c r="B125" t="s">
        <v>18</v>
      </c>
      <c r="C125" t="s">
        <v>17</v>
      </c>
      <c r="D125" s="4">
        <v>45692</v>
      </c>
      <c r="E125" t="s">
        <v>14</v>
      </c>
      <c r="F125">
        <v>5</v>
      </c>
      <c r="G125">
        <v>4000</v>
      </c>
      <c r="H125">
        <v>20000</v>
      </c>
    </row>
    <row r="126" spans="1:8" x14ac:dyDescent="0.3">
      <c r="A126" s="1">
        <v>125</v>
      </c>
      <c r="B126" t="s">
        <v>18</v>
      </c>
      <c r="C126" t="s">
        <v>17</v>
      </c>
      <c r="D126" s="4">
        <v>45692</v>
      </c>
      <c r="E126" t="s">
        <v>15</v>
      </c>
      <c r="F126">
        <v>15</v>
      </c>
      <c r="G126">
        <v>8000</v>
      </c>
      <c r="H126">
        <v>120000</v>
      </c>
    </row>
    <row r="127" spans="1:8" x14ac:dyDescent="0.3">
      <c r="A127" s="1">
        <v>126</v>
      </c>
      <c r="B127" t="s">
        <v>16</v>
      </c>
      <c r="C127" t="s">
        <v>17</v>
      </c>
      <c r="D127" s="4">
        <v>45692</v>
      </c>
      <c r="E127" t="s">
        <v>15</v>
      </c>
      <c r="F127">
        <v>4</v>
      </c>
      <c r="G127">
        <v>8000</v>
      </c>
      <c r="H127">
        <v>32000</v>
      </c>
    </row>
    <row r="128" spans="1:8" x14ac:dyDescent="0.3">
      <c r="A128" s="1">
        <v>127</v>
      </c>
      <c r="B128" t="s">
        <v>19</v>
      </c>
      <c r="C128" t="s">
        <v>20</v>
      </c>
      <c r="D128" s="4">
        <v>45720</v>
      </c>
      <c r="E128" t="s">
        <v>10</v>
      </c>
      <c r="F128">
        <v>9</v>
      </c>
      <c r="G128">
        <v>150</v>
      </c>
      <c r="H128">
        <v>1350</v>
      </c>
    </row>
    <row r="129" spans="1:8" x14ac:dyDescent="0.3">
      <c r="A129" s="1">
        <v>128</v>
      </c>
      <c r="B129" t="s">
        <v>19</v>
      </c>
      <c r="C129" t="s">
        <v>20</v>
      </c>
      <c r="D129" s="4">
        <v>45720</v>
      </c>
      <c r="E129" t="s">
        <v>11</v>
      </c>
      <c r="F129">
        <v>8</v>
      </c>
      <c r="G129">
        <v>350</v>
      </c>
      <c r="H129">
        <v>2800</v>
      </c>
    </row>
    <row r="130" spans="1:8" x14ac:dyDescent="0.3">
      <c r="A130" s="1">
        <v>129</v>
      </c>
      <c r="B130" t="s">
        <v>19</v>
      </c>
      <c r="C130" t="s">
        <v>20</v>
      </c>
      <c r="D130" s="4">
        <v>45720</v>
      </c>
      <c r="E130" t="s">
        <v>12</v>
      </c>
      <c r="F130">
        <v>6</v>
      </c>
      <c r="G130">
        <v>1800</v>
      </c>
      <c r="H130">
        <v>10800</v>
      </c>
    </row>
    <row r="131" spans="1:8" x14ac:dyDescent="0.3">
      <c r="A131" s="1">
        <v>130</v>
      </c>
      <c r="B131" t="s">
        <v>19</v>
      </c>
      <c r="C131" t="s">
        <v>20</v>
      </c>
      <c r="D131" s="4">
        <v>45720</v>
      </c>
      <c r="E131" t="s">
        <v>13</v>
      </c>
      <c r="F131">
        <v>12</v>
      </c>
      <c r="G131">
        <v>2300</v>
      </c>
      <c r="H131">
        <v>27600</v>
      </c>
    </row>
    <row r="132" spans="1:8" x14ac:dyDescent="0.3">
      <c r="A132" s="1">
        <v>131</v>
      </c>
      <c r="B132" t="s">
        <v>19</v>
      </c>
      <c r="C132" t="s">
        <v>20</v>
      </c>
      <c r="D132" s="4">
        <v>45720</v>
      </c>
      <c r="E132" t="s">
        <v>14</v>
      </c>
      <c r="F132">
        <v>9</v>
      </c>
      <c r="G132">
        <v>4000</v>
      </c>
      <c r="H132">
        <v>36000</v>
      </c>
    </row>
    <row r="133" spans="1:8" x14ac:dyDescent="0.3">
      <c r="A133" s="1">
        <v>132</v>
      </c>
      <c r="B133" t="s">
        <v>19</v>
      </c>
      <c r="C133" t="s">
        <v>20</v>
      </c>
      <c r="D133" s="4">
        <v>45720</v>
      </c>
      <c r="E133" t="s">
        <v>15</v>
      </c>
      <c r="F133">
        <v>7</v>
      </c>
      <c r="G133">
        <v>8000</v>
      </c>
      <c r="H133">
        <v>56000</v>
      </c>
    </row>
    <row r="134" spans="1:8" x14ac:dyDescent="0.3">
      <c r="A134" s="1">
        <v>133</v>
      </c>
      <c r="B134" t="s">
        <v>21</v>
      </c>
      <c r="C134" t="s">
        <v>9</v>
      </c>
      <c r="D134" s="4">
        <v>45751</v>
      </c>
      <c r="E134" t="s">
        <v>10</v>
      </c>
      <c r="F134">
        <v>15</v>
      </c>
      <c r="G134">
        <v>150</v>
      </c>
      <c r="H134">
        <v>2250</v>
      </c>
    </row>
    <row r="135" spans="1:8" x14ac:dyDescent="0.3">
      <c r="A135" s="1">
        <v>134</v>
      </c>
      <c r="B135" t="s">
        <v>21</v>
      </c>
      <c r="C135" t="s">
        <v>9</v>
      </c>
      <c r="D135" s="4">
        <v>45751</v>
      </c>
      <c r="E135" t="s">
        <v>11</v>
      </c>
      <c r="F135">
        <v>13</v>
      </c>
      <c r="G135">
        <v>350</v>
      </c>
      <c r="H135">
        <v>4550</v>
      </c>
    </row>
    <row r="136" spans="1:8" x14ac:dyDescent="0.3">
      <c r="A136" s="1">
        <v>135</v>
      </c>
      <c r="B136" t="s">
        <v>21</v>
      </c>
      <c r="C136" t="s">
        <v>9</v>
      </c>
      <c r="D136" s="4">
        <v>45751</v>
      </c>
      <c r="E136" t="s">
        <v>12</v>
      </c>
      <c r="F136">
        <v>10</v>
      </c>
      <c r="G136">
        <v>1800</v>
      </c>
      <c r="H136">
        <v>18000</v>
      </c>
    </row>
    <row r="137" spans="1:8" x14ac:dyDescent="0.3">
      <c r="A137" s="1">
        <v>136</v>
      </c>
      <c r="B137" t="s">
        <v>21</v>
      </c>
      <c r="C137" t="s">
        <v>9</v>
      </c>
      <c r="D137" s="4">
        <v>45751</v>
      </c>
      <c r="E137" t="s">
        <v>13</v>
      </c>
      <c r="F137">
        <v>15</v>
      </c>
      <c r="G137">
        <v>2300</v>
      </c>
      <c r="H137">
        <v>34500</v>
      </c>
    </row>
    <row r="138" spans="1:8" x14ac:dyDescent="0.3">
      <c r="A138" s="1">
        <v>137</v>
      </c>
      <c r="B138" t="s">
        <v>21</v>
      </c>
      <c r="C138" t="s">
        <v>9</v>
      </c>
      <c r="D138" s="4">
        <v>45751</v>
      </c>
      <c r="E138" t="s">
        <v>14</v>
      </c>
      <c r="F138">
        <v>16</v>
      </c>
      <c r="G138">
        <v>4000</v>
      </c>
      <c r="H138">
        <v>64000</v>
      </c>
    </row>
    <row r="139" spans="1:8" x14ac:dyDescent="0.3">
      <c r="A139" s="1">
        <v>138</v>
      </c>
      <c r="B139" t="s">
        <v>21</v>
      </c>
      <c r="C139" t="s">
        <v>9</v>
      </c>
      <c r="D139" s="4">
        <v>45751</v>
      </c>
      <c r="E139" t="s">
        <v>15</v>
      </c>
      <c r="F139">
        <v>9</v>
      </c>
      <c r="G139">
        <v>8000</v>
      </c>
      <c r="H139">
        <v>72000</v>
      </c>
    </row>
    <row r="140" spans="1:8" x14ac:dyDescent="0.3">
      <c r="A140" s="1">
        <v>139</v>
      </c>
      <c r="B140" t="s">
        <v>22</v>
      </c>
      <c r="C140" t="s">
        <v>20</v>
      </c>
      <c r="D140" s="4">
        <v>45781</v>
      </c>
      <c r="E140" t="s">
        <v>10</v>
      </c>
      <c r="F140">
        <v>13</v>
      </c>
      <c r="G140">
        <v>150</v>
      </c>
      <c r="H140">
        <v>1950</v>
      </c>
    </row>
    <row r="141" spans="1:8" x14ac:dyDescent="0.3">
      <c r="A141" s="1">
        <v>140</v>
      </c>
      <c r="B141" t="s">
        <v>22</v>
      </c>
      <c r="C141" t="s">
        <v>20</v>
      </c>
      <c r="D141" s="4">
        <v>45781</v>
      </c>
      <c r="E141" t="s">
        <v>11</v>
      </c>
      <c r="F141">
        <v>11</v>
      </c>
      <c r="G141">
        <v>350</v>
      </c>
      <c r="H141">
        <v>3850</v>
      </c>
    </row>
    <row r="142" spans="1:8" x14ac:dyDescent="0.3">
      <c r="A142" s="1">
        <v>141</v>
      </c>
      <c r="B142" t="s">
        <v>22</v>
      </c>
      <c r="C142" t="s">
        <v>20</v>
      </c>
      <c r="D142" s="4">
        <v>45781</v>
      </c>
      <c r="E142" t="s">
        <v>12</v>
      </c>
      <c r="F142">
        <v>13</v>
      </c>
      <c r="G142">
        <v>1800</v>
      </c>
      <c r="H142">
        <v>23400</v>
      </c>
    </row>
    <row r="143" spans="1:8" x14ac:dyDescent="0.3">
      <c r="A143" s="1">
        <v>142</v>
      </c>
      <c r="B143" t="s">
        <v>22</v>
      </c>
      <c r="C143" t="s">
        <v>20</v>
      </c>
      <c r="D143" s="4">
        <v>45781</v>
      </c>
      <c r="E143" t="s">
        <v>13</v>
      </c>
      <c r="F143">
        <v>14</v>
      </c>
      <c r="G143">
        <v>2300</v>
      </c>
      <c r="H143">
        <v>32200</v>
      </c>
    </row>
    <row r="144" spans="1:8" x14ac:dyDescent="0.3">
      <c r="A144" s="1">
        <v>143</v>
      </c>
      <c r="B144" t="s">
        <v>22</v>
      </c>
      <c r="C144" t="s">
        <v>20</v>
      </c>
      <c r="D144" s="4">
        <v>45781</v>
      </c>
      <c r="E144" t="s">
        <v>14</v>
      </c>
      <c r="F144">
        <v>13</v>
      </c>
      <c r="G144">
        <v>4000</v>
      </c>
      <c r="H144">
        <v>52000</v>
      </c>
    </row>
    <row r="145" spans="1:8" x14ac:dyDescent="0.3">
      <c r="A145" s="1">
        <v>144</v>
      </c>
      <c r="B145" t="s">
        <v>22</v>
      </c>
      <c r="C145" t="s">
        <v>20</v>
      </c>
      <c r="D145" s="4">
        <v>45781</v>
      </c>
      <c r="E145" t="s">
        <v>15</v>
      </c>
      <c r="F145">
        <v>9</v>
      </c>
      <c r="G145">
        <v>8000</v>
      </c>
      <c r="H145">
        <v>72000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krushna pardhi</dc:creator>
  <cp:lastModifiedBy>krushna pardhi</cp:lastModifiedBy>
  <dcterms:created xsi:type="dcterms:W3CDTF">2025-10-01T14:15:58Z</dcterms:created>
  <dcterms:modified xsi:type="dcterms:W3CDTF">2025-10-01T15:07:48Z</dcterms:modified>
</cp:coreProperties>
</file>